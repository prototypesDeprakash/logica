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SA Problem Tracker" sheetId="2" state="visible" r:id="rId4"/>
    <sheet name="Company 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<sst xmlns="http://schemas.openxmlformats.org/spreadsheetml/2006/main" count="790" uniqueCount="376">
  <si>
    <t xml:space="preserve">🎯 DSA MASTERY TRACKER</t>
  </si>
  <si>
    <t xml:space="preserve">Total Problems</t>
  </si>
  <si>
    <t xml:space="preserve">✓ Solved</t>
  </si>
  <si>
    <t xml:space="preserve">⚡ In Progress</t>
  </si>
  <si>
    <t xml:space="preserve">📋 Remaining</t>
  </si>
  <si>
    <t xml:space="preserve">🎯 Complete</t>
  </si>
  <si>
    <t xml:space="preserve">📅 This Week</t>
  </si>
  <si>
    <t xml:space="preserve">📆 This Month</t>
  </si>
  <si>
    <t xml:space="preserve">🔥 Last Solved</t>
  </si>
  <si>
    <t xml:space="preserve">⚡ DIFFICULTY BREAKDOWN</t>
  </si>
  <si>
    <t xml:space="preserve">Total</t>
  </si>
  <si>
    <t xml:space="preserve">Solved</t>
  </si>
  <si>
    <t xml:space="preserve">In Progress</t>
  </si>
  <si>
    <t xml:space="preserve">Remaining</t>
  </si>
  <si>
    <t xml:space="preserve">% Done</t>
  </si>
  <si>
    <t xml:space="preserve">🟢 Easy</t>
  </si>
  <si>
    <t xml:space="preserve">🟡 Medium</t>
  </si>
  <si>
    <t xml:space="preserve">🔴 Hard</t>
  </si>
  <si>
    <t xml:space="preserve">🏢 COMPANY-WISE PROGRESS</t>
  </si>
  <si>
    <t xml:space="preserve">Company</t>
  </si>
  <si>
    <t xml:space="preserve">Progress</t>
  </si>
  <si>
    <t xml:space="preserve">Complete</t>
  </si>
  <si>
    <t xml:space="preserve">  Google</t>
  </si>
  <si>
    <t xml:space="preserve">  Amazon</t>
  </si>
  <si>
    <t xml:space="preserve">  Microsoft</t>
  </si>
  <si>
    <t xml:space="preserve">  Meta</t>
  </si>
  <si>
    <t xml:space="preserve">  Apple</t>
  </si>
  <si>
    <t xml:space="preserve">  Netflix</t>
  </si>
  <si>
    <t xml:space="preserve">  Adobe</t>
  </si>
  <si>
    <t xml:space="preserve">  Uber</t>
  </si>
  <si>
    <t xml:space="preserve">  LinkedIn</t>
  </si>
  <si>
    <t xml:space="preserve">  Salesforce</t>
  </si>
  <si>
    <t xml:space="preserve">📚 TOP PATTERNS TO MASTER</t>
  </si>
  <si>
    <t xml:space="preserve">Pattern</t>
  </si>
  <si>
    <t xml:space="preserve">%</t>
  </si>
  <si>
    <t xml:space="preserve">🔄 Sliding Window</t>
  </si>
  <si>
    <t xml:space="preserve">💎 Dynamic Programming</t>
  </si>
  <si>
    <t xml:space="preserve">🌳 Trees</t>
  </si>
  <si>
    <t xml:space="preserve">🕸️ Graphs</t>
  </si>
  <si>
    <t xml:space="preserve">↩️ Backtracking</t>
  </si>
  <si>
    <t xml:space="preserve">👉 Two Pointers</t>
  </si>
  <si>
    <t xml:space="preserve">🔍 Binary Search</t>
  </si>
  <si>
    <t xml:space="preserve">🚶 BFS/DFS</t>
  </si>
  <si>
    <t xml:space="preserve">📊 Heaps &amp; Stacks</t>
  </si>
  <si>
    <t xml:space="preserve">🔗 Linked List</t>
  </si>
  <si>
    <t xml:space="preserve">💡 TIP: When you mark a problem as 'Solved' in DSA Problem Tracker, it automatically marks the same problem in Company Questions!
Use the dropdown in Status columns to select: Not Started, In Progress, or Solved. Dashboard updates automatically!</t>
  </si>
  <si>
    <t xml:space="preserve">#</t>
  </si>
  <si>
    <t xml:space="preserve">Pattern/Technique</t>
  </si>
  <si>
    <t xml:space="preserve">Problem Name</t>
  </si>
  <si>
    <t xml:space="preserve">Difficulty</t>
  </si>
  <si>
    <t xml:space="preserve">Status</t>
  </si>
  <si>
    <t xml:space="preserve">Date Solved</t>
  </si>
  <si>
    <t xml:space="preserve">Notes</t>
  </si>
  <si>
    <t xml:space="preserve">Revisit</t>
  </si>
  <si>
    <t xml:space="preserve">Fast and Slow Pointer</t>
  </si>
  <si>
    <t xml:space="preserve">Linked List Cycle II</t>
  </si>
  <si>
    <t xml:space="preserve">Medium</t>
  </si>
  <si>
    <t xml:space="preserve">Remove nth Node from the End of List</t>
  </si>
  <si>
    <t xml:space="preserve">Find the Duplicate Number</t>
  </si>
  <si>
    <t xml:space="preserve">Palindrome Linked List</t>
  </si>
  <si>
    <t xml:space="preserve">Easy</t>
  </si>
  <si>
    <t xml:space="preserve">Overlapping Intervals</t>
  </si>
  <si>
    <t xml:space="preserve">Merge Intervals</t>
  </si>
  <si>
    <t xml:space="preserve">Insert Interval</t>
  </si>
  <si>
    <t xml:space="preserve">My Calendar II</t>
  </si>
  <si>
    <t xml:space="preserve">Minimum Number of Arrows to Burst Balloons</t>
  </si>
  <si>
    <t xml:space="preserve">Non-overlapping Intervals</t>
  </si>
  <si>
    <t xml:space="preserve">Prefix Sum</t>
  </si>
  <si>
    <t xml:space="preserve">Find the Middle Index in Array</t>
  </si>
  <si>
    <t xml:space="preserve">Product of Array Except Self</t>
  </si>
  <si>
    <t xml:space="preserve">Maximum Product Subarray</t>
  </si>
  <si>
    <t xml:space="preserve">Number of Ways to Split Array</t>
  </si>
  <si>
    <t xml:space="preserve">Range Sum Query 2D</t>
  </si>
  <si>
    <t xml:space="preserve">Sliding Window - Fixed Size</t>
  </si>
  <si>
    <t xml:space="preserve">Maximum Sum Subarray of Size K</t>
  </si>
  <si>
    <t xml:space="preserve">Number of Subarrays Having Average Greater or Equal to Threshold</t>
  </si>
  <si>
    <t xml:space="preserve">Repeated DNA Sequences</t>
  </si>
  <si>
    <t xml:space="preserve">Permutation in String</t>
  </si>
  <si>
    <t xml:space="preserve">Sliding Subarray Beauty</t>
  </si>
  <si>
    <t xml:space="preserve">Sliding Window Maximum</t>
  </si>
  <si>
    <t xml:space="preserve">Hard</t>
  </si>
  <si>
    <t xml:space="preserve">Sliding Window - Variable Size</t>
  </si>
  <si>
    <t xml:space="preserve">Longest Substring Without Repeating Characters</t>
  </si>
  <si>
    <t xml:space="preserve">Minimum Size Subarray Sum</t>
  </si>
  <si>
    <t xml:space="preserve">Subarray Product Less Than K</t>
  </si>
  <si>
    <t xml:space="preserve">Max Consecutive Ones</t>
  </si>
  <si>
    <t xml:space="preserve">Fruits Into Baskets</t>
  </si>
  <si>
    <t xml:space="preserve">Count Number of Nice Subarrays</t>
  </si>
  <si>
    <t xml:space="preserve">Minimum Window Substring</t>
  </si>
  <si>
    <t xml:space="preserve">Two Pointers</t>
  </si>
  <si>
    <t xml:space="preserve">Two Sum II - Input Array is Sorted</t>
  </si>
  <si>
    <t xml:space="preserve">Sort Colors</t>
  </si>
  <si>
    <t xml:space="preserve">Next Permutation</t>
  </si>
  <si>
    <t xml:space="preserve">Bag of Tokens</t>
  </si>
  <si>
    <t xml:space="preserve">Container with Most Water</t>
  </si>
  <si>
    <t xml:space="preserve">Trapping Rain Water</t>
  </si>
  <si>
    <t xml:space="preserve">Cyclic Sort</t>
  </si>
  <si>
    <t xml:space="preserve">Missing Number</t>
  </si>
  <si>
    <t xml:space="preserve">Find Missing Numbers</t>
  </si>
  <si>
    <t xml:space="preserve">Set Mismatch</t>
  </si>
  <si>
    <t xml:space="preserve">First Missing Positive</t>
  </si>
  <si>
    <t xml:space="preserve">Reversal of Linked List</t>
  </si>
  <si>
    <t xml:space="preserve">Reverse Linked List</t>
  </si>
  <si>
    <t xml:space="preserve">Reverse Nodes in k-Group</t>
  </si>
  <si>
    <t xml:space="preserve">Swap Nodes in Pairs</t>
  </si>
  <si>
    <t xml:space="preserve">Matrix Manipulation</t>
  </si>
  <si>
    <t xml:space="preserve">Rotate Image</t>
  </si>
  <si>
    <t xml:space="preserve">Spiral Matrix</t>
  </si>
  <si>
    <t xml:space="preserve">Set Matrix Zeroes</t>
  </si>
  <si>
    <t xml:space="preserve">Game of Life</t>
  </si>
  <si>
    <t xml:space="preserve">Breadth First Search (BFS)</t>
  </si>
  <si>
    <t xml:space="preserve">Shortest Path in Binary Matrix</t>
  </si>
  <si>
    <t xml:space="preserve">Rotten Oranges</t>
  </si>
  <si>
    <t xml:space="preserve">As Far From Land as Possible</t>
  </si>
  <si>
    <t xml:space="preserve">Word Ladder</t>
  </si>
  <si>
    <t xml:space="preserve">Depth First Search (DFS)</t>
  </si>
  <si>
    <t xml:space="preserve">Number of Closed Islands</t>
  </si>
  <si>
    <t xml:space="preserve">Coloring a Border</t>
  </si>
  <si>
    <t xml:space="preserve">Number of Enclaves</t>
  </si>
  <si>
    <t xml:space="preserve">Time Needed to Inform All Employees</t>
  </si>
  <si>
    <t xml:space="preserve">Find Eventual Safe States</t>
  </si>
  <si>
    <t xml:space="preserve">Backtracking</t>
  </si>
  <si>
    <t xml:space="preserve">Permutation II</t>
  </si>
  <si>
    <t xml:space="preserve">Combination Sum</t>
  </si>
  <si>
    <t xml:space="preserve">Generate Parenthesis</t>
  </si>
  <si>
    <t xml:space="preserve">N-Queens</t>
  </si>
  <si>
    <t xml:space="preserve">Sudoku Solver</t>
  </si>
  <si>
    <t xml:space="preserve">Palindrome Partitioning</t>
  </si>
  <si>
    <t xml:space="preserve">Word Search</t>
  </si>
  <si>
    <t xml:space="preserve">Modified Binary Search</t>
  </si>
  <si>
    <t xml:space="preserve">Search in Rotated Sorted Array</t>
  </si>
  <si>
    <t xml:space="preserve">Find Minimum in Rotated Sorted Array</t>
  </si>
  <si>
    <t xml:space="preserve">Find Peak Element</t>
  </si>
  <si>
    <t xml:space="preserve">Single Element in a Sorted Array</t>
  </si>
  <si>
    <t xml:space="preserve">Minimum Time to Arrive on Time</t>
  </si>
  <si>
    <t xml:space="preserve">Capacity to Ship Packages Within 'd' Days</t>
  </si>
  <si>
    <t xml:space="preserve">Koko Eating Bananas</t>
  </si>
  <si>
    <t xml:space="preserve">Find in Mountain Array</t>
  </si>
  <si>
    <t xml:space="preserve">Median of Two Sorted Arrays</t>
  </si>
  <si>
    <t xml:space="preserve">Bitwise XOR</t>
  </si>
  <si>
    <t xml:space="preserve">Single Number II</t>
  </si>
  <si>
    <t xml:space="preserve">Single Number III</t>
  </si>
  <si>
    <t xml:space="preserve">Find the Original Array of Prefix XOR</t>
  </si>
  <si>
    <t xml:space="preserve">XOR Queries of a Subarray</t>
  </si>
  <si>
    <t xml:space="preserve">Top 'K' Elements</t>
  </si>
  <si>
    <t xml:space="preserve">Top K Frequent Elements</t>
  </si>
  <si>
    <t xml:space="preserve">Kth Largest Element</t>
  </si>
  <si>
    <t xml:space="preserve">Ugly Number II</t>
  </si>
  <si>
    <t xml:space="preserve">K Closest Points to Origin</t>
  </si>
  <si>
    <t xml:space="preserve">K-way Merge</t>
  </si>
  <si>
    <t xml:space="preserve">Find K Pairs with Smallest Sums</t>
  </si>
  <si>
    <t xml:space="preserve">Kth Smallest Element in a Sorted Matrix</t>
  </si>
  <si>
    <t xml:space="preserve">Merge K Sorted Lists</t>
  </si>
  <si>
    <t xml:space="preserve">Smallest Range Covering Elements from K Lists</t>
  </si>
  <si>
    <t xml:space="preserve">Two Heaps</t>
  </si>
  <si>
    <t xml:space="preserve">Find Median from Data Stream</t>
  </si>
  <si>
    <t xml:space="preserve">Sliding Window Median</t>
  </si>
  <si>
    <t xml:space="preserve">IPO</t>
  </si>
  <si>
    <t xml:space="preserve">Monotonic Stack</t>
  </si>
  <si>
    <t xml:space="preserve">Next Greater Element II</t>
  </si>
  <si>
    <t xml:space="preserve">Next Greater Node in Linked List</t>
  </si>
  <si>
    <t xml:space="preserve">Daily Temperatures</t>
  </si>
  <si>
    <t xml:space="preserve">Online Stock Span</t>
  </si>
  <si>
    <t xml:space="preserve">Maximum Width Ramp</t>
  </si>
  <si>
    <t xml:space="preserve">Largest Rectangle in Histogram</t>
  </si>
  <si>
    <t xml:space="preserve">Trees - Level Order Traversal</t>
  </si>
  <si>
    <t xml:space="preserve">Binary Tree Level Order Traversal</t>
  </si>
  <si>
    <t xml:space="preserve">Binary Tree Zigzag Level Order Traversal</t>
  </si>
  <si>
    <t xml:space="preserve">Even Odd Tree</t>
  </si>
  <si>
    <t xml:space="preserve">Reverse Odd Levels</t>
  </si>
  <si>
    <t xml:space="preserve">Deepest Leaves Sum</t>
  </si>
  <si>
    <t xml:space="preserve">Add One Row to Tree</t>
  </si>
  <si>
    <t xml:space="preserve">Maximum Width of Binary Tree</t>
  </si>
  <si>
    <t xml:space="preserve">All Nodes Distance K in Binary Tree</t>
  </si>
  <si>
    <t xml:space="preserve">Trees - Tree Construction</t>
  </si>
  <si>
    <t xml:space="preserve">Construct BT from Preorder and Inorder</t>
  </si>
  <si>
    <t xml:space="preserve">Construct BT from Postorder and Inorder</t>
  </si>
  <si>
    <t xml:space="preserve">Maximum Binary Tree</t>
  </si>
  <si>
    <t xml:space="preserve">Construct BST from Preorder</t>
  </si>
  <si>
    <t xml:space="preserve">Trees - Height Problems</t>
  </si>
  <si>
    <t xml:space="preserve">Maximum Depth of Binary Tree</t>
  </si>
  <si>
    <t xml:space="preserve">Balanced Binary Tree</t>
  </si>
  <si>
    <t xml:space="preserve">Diameter of Binary Tree</t>
  </si>
  <si>
    <t xml:space="preserve">Minimum Depth of Binary Tree</t>
  </si>
  <si>
    <t xml:space="preserve">Trees - Root to Leaf Path</t>
  </si>
  <si>
    <t xml:space="preserve">Binary Tree Paths</t>
  </si>
  <si>
    <t xml:space="preserve">Path Sum II</t>
  </si>
  <si>
    <t xml:space="preserve">Sum Root to Leaf Numbers</t>
  </si>
  <si>
    <t xml:space="preserve">Smallest String Starting from Leaf</t>
  </si>
  <si>
    <t xml:space="preserve">Insufficient Nodes in Root to Leaf</t>
  </si>
  <si>
    <t xml:space="preserve">Pseudo-Palindromic Paths in a Binary Tree</t>
  </si>
  <si>
    <t xml:space="preserve">Binary Tree Maximum Path Sum</t>
  </si>
  <si>
    <t xml:space="preserve">Trees - Ancestor Problem</t>
  </si>
  <si>
    <t xml:space="preserve">LCA of Binary Tree</t>
  </si>
  <si>
    <t xml:space="preserve">Maximum Difference Between Node and Ancestor</t>
  </si>
  <si>
    <t xml:space="preserve">LCA of Deepest Leaves</t>
  </si>
  <si>
    <t xml:space="preserve">Kth Ancestor of a Tree Node</t>
  </si>
  <si>
    <t xml:space="preserve">Trees - Binary Search Tree</t>
  </si>
  <si>
    <t xml:space="preserve">Validate BST</t>
  </si>
  <si>
    <t xml:space="preserve">Range Sum of BST</t>
  </si>
  <si>
    <t xml:space="preserve">Minimum Absolute Difference in BST</t>
  </si>
  <si>
    <t xml:space="preserve">Insert into a BST</t>
  </si>
  <si>
    <t xml:space="preserve">LCA of BST</t>
  </si>
  <si>
    <t xml:space="preserve">DP - Take/Not Take</t>
  </si>
  <si>
    <t xml:space="preserve">House Robber II</t>
  </si>
  <si>
    <t xml:space="preserve">Target Sum</t>
  </si>
  <si>
    <t xml:space="preserve">Partition Equal Subset Sum</t>
  </si>
  <si>
    <t xml:space="preserve">Ones and Zeroes</t>
  </si>
  <si>
    <t xml:space="preserve">Last Stone Weight II</t>
  </si>
  <si>
    <t xml:space="preserve">DP - Infinite Supply</t>
  </si>
  <si>
    <t xml:space="preserve">Coin Change</t>
  </si>
  <si>
    <t xml:space="preserve">Coin Change II</t>
  </si>
  <si>
    <t xml:space="preserve">Perfect Squares</t>
  </si>
  <si>
    <t xml:space="preserve">Minimum Cost For Tickets</t>
  </si>
  <si>
    <t xml:space="preserve">DP - Longest Increasing Subsequence</t>
  </si>
  <si>
    <t xml:space="preserve">Longest Increasing Subsequence</t>
  </si>
  <si>
    <t xml:space="preserve">Largest Divisible Subset</t>
  </si>
  <si>
    <t xml:space="preserve">Maximum Length of Pair Chain</t>
  </si>
  <si>
    <t xml:space="preserve">Number of LIS</t>
  </si>
  <si>
    <t xml:space="preserve">Longest String Chain</t>
  </si>
  <si>
    <t xml:space="preserve">DP - Grids</t>
  </si>
  <si>
    <t xml:space="preserve">Unique Paths II</t>
  </si>
  <si>
    <t xml:space="preserve">Minimum Path Sum</t>
  </si>
  <si>
    <t xml:space="preserve">Triangle</t>
  </si>
  <si>
    <t xml:space="preserve">Minimum Falling Path Sum</t>
  </si>
  <si>
    <t xml:space="preserve">Maximal Square</t>
  </si>
  <si>
    <t xml:space="preserve">Cherry Pickup</t>
  </si>
  <si>
    <t xml:space="preserve">Dungeon Game</t>
  </si>
  <si>
    <t xml:space="preserve">DP - Strings</t>
  </si>
  <si>
    <t xml:space="preserve">Longest Common Subsequence</t>
  </si>
  <si>
    <t xml:space="preserve">Longest Palindromic Subsequence</t>
  </si>
  <si>
    <t xml:space="preserve">Palindromic Substrings</t>
  </si>
  <si>
    <t xml:space="preserve">Longest Palindromic Substrings</t>
  </si>
  <si>
    <t xml:space="preserve">Edit Distance</t>
  </si>
  <si>
    <t xml:space="preserve">Minimum ASCII Delete Sum for Two Strings</t>
  </si>
  <si>
    <t xml:space="preserve">Distinct Subsequences</t>
  </si>
  <si>
    <t xml:space="preserve">Shortest Common Supersequence</t>
  </si>
  <si>
    <t xml:space="preserve">Wildcard Matching</t>
  </si>
  <si>
    <t xml:space="preserve">DP - Stocks</t>
  </si>
  <si>
    <t xml:space="preserve">Buy and Sell Stocks II</t>
  </si>
  <si>
    <t xml:space="preserve">Buy and Sell Stocks III</t>
  </si>
  <si>
    <t xml:space="preserve">Buy and Sell Stocks IV</t>
  </si>
  <si>
    <t xml:space="preserve">Buy and Sell Stocks with Cooldown</t>
  </si>
  <si>
    <t xml:space="preserve">Buy and Sell Stocks with Transaction Fee</t>
  </si>
  <si>
    <t xml:space="preserve">DP - Partition (MCM)</t>
  </si>
  <si>
    <t xml:space="preserve">Partition Array for Maximum Sum</t>
  </si>
  <si>
    <t xml:space="preserve">Burst Balloons</t>
  </si>
  <si>
    <t xml:space="preserve">Minimum Cost to Cut a Stick</t>
  </si>
  <si>
    <t xml:space="preserve">Palindrome Partitioning II</t>
  </si>
  <si>
    <t xml:space="preserve">Graphs - Topological Sort</t>
  </si>
  <si>
    <t xml:space="preserve">Course Schedule</t>
  </si>
  <si>
    <t xml:space="preserve">Course Schedule II</t>
  </si>
  <si>
    <t xml:space="preserve">Strange Printer II</t>
  </si>
  <si>
    <t xml:space="preserve">Sequence Reconstruction</t>
  </si>
  <si>
    <t xml:space="preserve">Alien Dictionary</t>
  </si>
  <si>
    <t xml:space="preserve">Graphs - Union Find</t>
  </si>
  <si>
    <t xml:space="preserve">Number of Operations to Make Network Connected</t>
  </si>
  <si>
    <t xml:space="preserve">Redundant Connection</t>
  </si>
  <si>
    <t xml:space="preserve">Accounts Merge</t>
  </si>
  <si>
    <t xml:space="preserve">Satisfiability of Equality Equations</t>
  </si>
  <si>
    <t xml:space="preserve">Graphs - Algorithms</t>
  </si>
  <si>
    <t xml:space="preserve">Minimum Cost to Connect All Points</t>
  </si>
  <si>
    <t xml:space="preserve">Cheapest Flights Within K Stops</t>
  </si>
  <si>
    <t xml:space="preserve">Find the City with Smallest Number of Neighbours</t>
  </si>
  <si>
    <t xml:space="preserve">Network Delay Time</t>
  </si>
  <si>
    <t xml:space="preserve">Greedy</t>
  </si>
  <si>
    <t xml:space="preserve">Jump Game II</t>
  </si>
  <si>
    <t xml:space="preserve">Gas Station</t>
  </si>
  <si>
    <t xml:space="preserve">Boats to Save People</t>
  </si>
  <si>
    <t xml:space="preserve">Wiggle Subsequence</t>
  </si>
  <si>
    <t xml:space="preserve">Car Pooling</t>
  </si>
  <si>
    <t xml:space="preserve">Candy</t>
  </si>
  <si>
    <t xml:space="preserve">Design Data Structure</t>
  </si>
  <si>
    <t xml:space="preserve">Design Twitter</t>
  </si>
  <si>
    <t xml:space="preserve">Design Browser History</t>
  </si>
  <si>
    <t xml:space="preserve">Design Circular Deque</t>
  </si>
  <si>
    <t xml:space="preserve">Snapshot Array</t>
  </si>
  <si>
    <t xml:space="preserve">LRU Cache</t>
  </si>
  <si>
    <t xml:space="preserve">LFU Cache</t>
  </si>
  <si>
    <t xml:space="preserve">Google</t>
  </si>
  <si>
    <t xml:space="preserve">Sliding Window</t>
  </si>
  <si>
    <t xml:space="preserve">Container With Most Water</t>
  </si>
  <si>
    <t xml:space="preserve">Intervals</t>
  </si>
  <si>
    <t xml:space="preserve">Design</t>
  </si>
  <si>
    <t xml:space="preserve">BFS</t>
  </si>
  <si>
    <t xml:space="preserve">Binary Search</t>
  </si>
  <si>
    <t xml:space="preserve">Serialize and Deserialize Binary Tree</t>
  </si>
  <si>
    <t xml:space="preserve">Trees</t>
  </si>
  <si>
    <t xml:space="preserve">Number of Islands</t>
  </si>
  <si>
    <t xml:space="preserve">DFS/BFS</t>
  </si>
  <si>
    <t xml:space="preserve">Valid Parentheses</t>
  </si>
  <si>
    <t xml:space="preserve">Stack</t>
  </si>
  <si>
    <t xml:space="preserve">Amazon</t>
  </si>
  <si>
    <t xml:space="preserve">Two Sum</t>
  </si>
  <si>
    <t xml:space="preserve">Hash Map</t>
  </si>
  <si>
    <t xml:space="preserve">Word Break</t>
  </si>
  <si>
    <t xml:space="preserve">DP</t>
  </si>
  <si>
    <t xml:space="preserve">Heap</t>
  </si>
  <si>
    <t xml:space="preserve">Copy List with Random Pointer</t>
  </si>
  <si>
    <t xml:space="preserve">Linked List</t>
  </si>
  <si>
    <t xml:space="preserve">Min Cost to Connect All Points</t>
  </si>
  <si>
    <t xml:space="preserve">Graph</t>
  </si>
  <si>
    <t xml:space="preserve">Number of Provinces</t>
  </si>
  <si>
    <t xml:space="preserve">Union Find</t>
  </si>
  <si>
    <t xml:space="preserve">Critical Connections in a Network</t>
  </si>
  <si>
    <t xml:space="preserve">Microsoft</t>
  </si>
  <si>
    <t xml:space="preserve">Excel Sheet Column Number</t>
  </si>
  <si>
    <t xml:space="preserve">Math</t>
  </si>
  <si>
    <t xml:space="preserve">Matrix</t>
  </si>
  <si>
    <t xml:space="preserve">Clone Graph</t>
  </si>
  <si>
    <t xml:space="preserve">DFS</t>
  </si>
  <si>
    <t xml:space="preserve">Longest Palindromic Substring</t>
  </si>
  <si>
    <t xml:space="preserve">Maximal Rectangle</t>
  </si>
  <si>
    <t xml:space="preserve">Topological Sort</t>
  </si>
  <si>
    <t xml:space="preserve">Lowest Common Ancestor</t>
  </si>
  <si>
    <t xml:space="preserve">Meta</t>
  </si>
  <si>
    <t xml:space="preserve">Valid Palindrome</t>
  </si>
  <si>
    <t xml:space="preserve">Binary Tree Vertical Order Traversal</t>
  </si>
  <si>
    <t xml:space="preserve">Subarray Sum Equals K</t>
  </si>
  <si>
    <t xml:space="preserve">Expression Add Operators</t>
  </si>
  <si>
    <t xml:space="preserve">Random Pick with Weight</t>
  </si>
  <si>
    <t xml:space="preserve">Verifying an Alien Dictionary</t>
  </si>
  <si>
    <t xml:space="preserve">Buildings With Ocean View</t>
  </si>
  <si>
    <t xml:space="preserve">Minimum Remove to Make Valid Parentheses</t>
  </si>
  <si>
    <t xml:space="preserve">Product Suggestions</t>
  </si>
  <si>
    <t xml:space="preserve">Trie</t>
  </si>
  <si>
    <t xml:space="preserve">Apple</t>
  </si>
  <si>
    <t xml:space="preserve">Design Hit Counter</t>
  </si>
  <si>
    <t xml:space="preserve">Maximum Subarray</t>
  </si>
  <si>
    <t xml:space="preserve">Kadane</t>
  </si>
  <si>
    <t xml:space="preserve">Decode Ways</t>
  </si>
  <si>
    <t xml:space="preserve">Monotonic Queue</t>
  </si>
  <si>
    <t xml:space="preserve">Longest Increasing Path in Matrix</t>
  </si>
  <si>
    <t xml:space="preserve">DFS + DP</t>
  </si>
  <si>
    <t xml:space="preserve">Netflix</t>
  </si>
  <si>
    <t xml:space="preserve">Top K Frequent Words</t>
  </si>
  <si>
    <t xml:space="preserve">Design Video Streaming Service</t>
  </si>
  <si>
    <t xml:space="preserve">Regular Expression Matching</t>
  </si>
  <si>
    <t xml:space="preserve">Valid Sudoku</t>
  </si>
  <si>
    <t xml:space="preserve">Maximum Profit in Job Scheduling</t>
  </si>
  <si>
    <t xml:space="preserve">Adobe</t>
  </si>
  <si>
    <t xml:space="preserve">Reverse Words in String</t>
  </si>
  <si>
    <t xml:space="preserve">String</t>
  </si>
  <si>
    <t xml:space="preserve">Flatten Binary Tree to Linked List</t>
  </si>
  <si>
    <t xml:space="preserve">Kth Smallest Element in BST</t>
  </si>
  <si>
    <t xml:space="preserve">Design Search Autocomplete</t>
  </si>
  <si>
    <t xml:space="preserve">Number of Matching Subsequences</t>
  </si>
  <si>
    <t xml:space="preserve">Design File System</t>
  </si>
  <si>
    <t xml:space="preserve">Word Ladder II</t>
  </si>
  <si>
    <t xml:space="preserve">BFS + Backtracking</t>
  </si>
  <si>
    <t xml:space="preserve">Uber</t>
  </si>
  <si>
    <t xml:space="preserve">Group Anagrams</t>
  </si>
  <si>
    <t xml:space="preserve">Generate Parentheses</t>
  </si>
  <si>
    <t xml:space="preserve">Serialize Deserialize Binary Tree</t>
  </si>
  <si>
    <t xml:space="preserve">Design Uber</t>
  </si>
  <si>
    <t xml:space="preserve">Design Rate Limiter</t>
  </si>
  <si>
    <t xml:space="preserve">All Nodes K Distance in Binary Tree</t>
  </si>
  <si>
    <t xml:space="preserve">LinkedIn</t>
  </si>
  <si>
    <t xml:space="preserve">Isomorphic Strings</t>
  </si>
  <si>
    <t xml:space="preserve">Max Stack</t>
  </si>
  <si>
    <t xml:space="preserve">Nested List Weight Sum</t>
  </si>
  <si>
    <t xml:space="preserve">Find K Closest Elements</t>
  </si>
  <si>
    <t xml:space="preserve">Search Suggestions System</t>
  </si>
  <si>
    <t xml:space="preserve">Insert Delete GetRandom O(1)</t>
  </si>
  <si>
    <t xml:space="preserve">Binary Tree Right Side View</t>
  </si>
  <si>
    <t xml:space="preserve">Shortest Word Distance II</t>
  </si>
  <si>
    <t xml:space="preserve">Salesforce</t>
  </si>
  <si>
    <t xml:space="preserve">Valid Anagram</t>
  </si>
  <si>
    <t xml:space="preserve">Plus One</t>
  </si>
  <si>
    <t xml:space="preserve">Array</t>
  </si>
  <si>
    <t xml:space="preserve">Longest Substring Without Repeating</t>
  </si>
  <si>
    <t xml:space="preserve">3Sum</t>
  </si>
  <si>
    <t xml:space="preserve">Design HashMap</t>
  </si>
  <si>
    <t xml:space="preserve">Letter Combinations Phone Number</t>
  </si>
  <si>
    <t xml:space="preserve">Word Search II</t>
  </si>
  <si>
    <t xml:space="preserve">Trie + Backtracking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</si>
</sst>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mmm\ dd&quot;, &quot;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mbria"/>
      <family val="0"/>
      <charset val="1"/>
    </font>
    <font>
      <b val="true"/>
      <sz val="32"/>
      <color rgb="FFFFFFFF"/>
      <name val="Cambria"/>
      <family val="0"/>
      <charset val="1"/>
    </font>
    <font>
      <b val="true"/>
      <sz val="36"/>
      <color rgb="FFFFFFFF"/>
      <name val="Cambria"/>
      <family val="0"/>
      <charset val="1"/>
    </font>
    <font>
      <b val="true"/>
      <sz val="10"/>
      <color rgb="FF212529"/>
      <name val="Cambria"/>
      <family val="0"/>
      <charset val="1"/>
    </font>
    <font>
      <b val="true"/>
      <sz val="11"/>
      <color rgb="FF212529"/>
      <name val="Cambria"/>
      <family val="0"/>
      <charset val="1"/>
    </font>
    <font>
      <b val="true"/>
      <sz val="28"/>
      <color rgb="FF2E5090"/>
      <name val="Cambria"/>
      <family val="0"/>
      <charset val="1"/>
    </font>
    <font>
      <b val="true"/>
      <sz val="28"/>
      <color rgb="FF28A745"/>
      <name val="Cambria"/>
      <family val="0"/>
      <charset val="1"/>
    </font>
    <font>
      <b val="true"/>
      <sz val="20"/>
      <color rgb="FFFD7E14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sz val="10"/>
      <name val="Cambria"/>
      <family val="0"/>
      <charset val="1"/>
    </font>
    <font>
      <i val="true"/>
      <sz val="10"/>
      <color rgb="FF212529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E5090"/>
        <bgColor rgb="FF4472C4"/>
      </patternFill>
    </fill>
    <fill>
      <patternFill patternType="solid">
        <fgColor rgb="FF28A745"/>
        <bgColor rgb="FF17A2B8"/>
      </patternFill>
    </fill>
    <fill>
      <patternFill patternType="solid">
        <fgColor rgb="FFFFC107"/>
        <bgColor rgb="FFFF9900"/>
      </patternFill>
    </fill>
    <fill>
      <patternFill patternType="solid">
        <fgColor rgb="FFDC3545"/>
        <bgColor rgb="FF993366"/>
      </patternFill>
    </fill>
    <fill>
      <patternFill patternType="solid">
        <fgColor rgb="FF6F42C1"/>
        <bgColor rgb="FF993366"/>
      </patternFill>
    </fill>
    <fill>
      <patternFill patternType="solid">
        <fgColor rgb="FFD6E4F5"/>
        <bgColor rgb="FFD9E1F2"/>
      </patternFill>
    </fill>
    <fill>
      <patternFill patternType="solid">
        <fgColor rgb="FFD4EDDA"/>
        <bgColor rgb="FFD6E4F5"/>
      </patternFill>
    </fill>
    <fill>
      <patternFill patternType="solid">
        <fgColor rgb="FFFFF3CD"/>
        <bgColor rgb="FFFFE5D0"/>
      </patternFill>
    </fill>
    <fill>
      <patternFill patternType="solid">
        <fgColor rgb="FFF8D7DA"/>
        <bgColor rgb="FFFFE5D0"/>
      </patternFill>
    </fill>
    <fill>
      <patternFill patternType="solid">
        <fgColor rgb="FFE7D9F5"/>
        <bgColor rgb="FFD9E1F2"/>
      </patternFill>
    </fill>
    <fill>
      <patternFill patternType="solid">
        <fgColor rgb="FFFFE5D0"/>
        <bgColor rgb="FFFFF3CD"/>
      </patternFill>
    </fill>
    <fill>
      <patternFill patternType="solid">
        <fgColor rgb="FF17A2B8"/>
        <bgColor rgb="FF00808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0F0F0"/>
        <bgColor rgb="FFF8F9FA"/>
      </patternFill>
    </fill>
    <fill>
      <patternFill patternType="solid">
        <fgColor rgb="FF4472C4"/>
        <bgColor rgb="FF2E5090"/>
      </patternFill>
    </fill>
    <fill>
      <patternFill patternType="solid">
        <fgColor rgb="FFD9E1F2"/>
        <bgColor rgb="FFD6E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A2B8"/>
      <rgbColor rgb="FFCCCCCC"/>
      <rgbColor rgb="FF808080"/>
      <rgbColor rgb="FF9999FF"/>
      <rgbColor rgb="FFDC3545"/>
      <rgbColor rgb="FFFFF3CD"/>
      <rgbColor rgb="FFD6E4F5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4EDDA"/>
      <rgbColor rgb="FFFFE5D0"/>
      <rgbColor rgb="FFE7D9F5"/>
      <rgbColor rgb="FFF8F9FA"/>
      <rgbColor rgb="FFCC99FF"/>
      <rgbColor rgb="FFF8D7DA"/>
      <rgbColor rgb="FF4472C4"/>
      <rgbColor rgb="FF33CCCC"/>
      <rgbColor rgb="FF99CC00"/>
      <rgbColor rgb="FFFFC107"/>
      <rgbColor rgb="FFFF9900"/>
      <rgbColor rgb="FFFD7E14"/>
      <rgbColor rgb="FF6F42C1"/>
      <rgbColor rgb="FF969696"/>
      <rgbColor rgb="FF003366"/>
      <rgbColor rgb="FF28A745"/>
      <rgbColor rgb="FF003300"/>
      <rgbColor rgb="FF333300"/>
      <rgbColor rgb="FF993300"/>
      <rgbColor rgb="FF993366"/>
      <rgbColor rgb="FF2E5090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1" min="2" style="1" width="14"/>
    <col collapsed="false" customWidth="true" hidden="false" outlineLevel="0" max="12" min="12" style="1" width="2"/>
  </cols>
  <sheetData>
    <row r="2" customFormat="false" ht="34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34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</row>
    <row r="5" customFormat="false" ht="30" hidden="false" customHeight="true" outlineLevel="0" collapsed="false">
      <c r="B5" s="3" t="n">
        <f aca="false">COUNTA('DSA Problem Tracker'!C:C,'Company Questions'!C:C)-2</f>
        <v>288</v>
      </c>
      <c r="C5" s="3"/>
      <c r="D5" s="4" t="n">
        <f aca="false">COUNTIF('DSA Problem Tracker'!E:E,"Solved")+COUNTIF('Company Questions'!F:F,"Solved")</f>
        <v>0</v>
      </c>
      <c r="E5" s="4"/>
      <c r="F5" s="5" t="n">
        <f aca="false">COUNTIF('DSA Problem Tracker'!E:E,"In Progress")+COUNTIF('Company Questions'!F:F,"In Progress")</f>
        <v>0</v>
      </c>
      <c r="G5" s="5"/>
      <c r="H5" s="6" t="n">
        <f aca="false">B5-D5-F5</f>
        <v>288</v>
      </c>
      <c r="I5" s="6"/>
      <c r="J5" s="7" t="n">
        <f aca="false">IF(B5&gt;0,D5/B5,0)</f>
        <v>0</v>
      </c>
      <c r="K5" s="7"/>
    </row>
    <row r="6" customFormat="false" ht="30" hidden="false" customHeight="true" outlineLevel="0" collapsed="false">
      <c r="B6" s="3"/>
      <c r="C6" s="3"/>
      <c r="D6" s="4"/>
      <c r="E6" s="4"/>
      <c r="F6" s="5"/>
      <c r="G6" s="5"/>
      <c r="H6" s="6"/>
      <c r="I6" s="6"/>
      <c r="J6" s="7"/>
      <c r="K6" s="7"/>
    </row>
    <row r="7" customFormat="false" ht="15" hidden="false" customHeight="true" outlineLevel="0" collapsed="false">
      <c r="B7" s="8" t="s">
        <v>1</v>
      </c>
      <c r="C7" s="8"/>
      <c r="D7" s="9" t="s">
        <v>2</v>
      </c>
      <c r="E7" s="9"/>
      <c r="F7" s="10" t="s">
        <v>3</v>
      </c>
      <c r="G7" s="10"/>
      <c r="H7" s="11" t="s">
        <v>4</v>
      </c>
      <c r="I7" s="11"/>
      <c r="J7" s="12" t="s">
        <v>5</v>
      </c>
      <c r="K7" s="12"/>
    </row>
    <row r="9" customFormat="false" ht="7.5" hidden="false" customHeight="true" outlineLevel="0" collapsed="false"/>
    <row r="10" customFormat="false" ht="15" hidden="false" customHeight="true" outlineLevel="0" collapsed="false">
      <c r="B10" s="13" t="s">
        <v>6</v>
      </c>
      <c r="C10" s="13"/>
      <c r="D10" s="13"/>
      <c r="E10" s="14" t="s">
        <v>7</v>
      </c>
      <c r="F10" s="14"/>
      <c r="G10" s="14"/>
      <c r="H10" s="15" t="s">
        <v>8</v>
      </c>
      <c r="I10" s="15"/>
      <c r="J10" s="15"/>
      <c r="K10" s="15"/>
    </row>
    <row r="11" customFormat="false" ht="34.5" hidden="false" customHeight="true" outlineLevel="0" collapsed="false">
      <c r="B11" s="16" t="n">
        <f aca="true">COUNTIFS('DSA Problem Tracker'!F:F,"&gt;="&amp;TODAY()-7,'DSA Problem Tracker'!F:F,"&lt;="&amp;TODAY())+COUNTIFS('Company Questions'!G:G,"&gt;="&amp;TODAY()-7,'Company Questions'!G:G,"&lt;="&amp;TODAY())</f>
        <v>0</v>
      </c>
      <c r="C11" s="16"/>
      <c r="D11" s="16"/>
      <c r="E11" s="17" t="n">
        <f aca="true">COUNTIFS('DSA Problem Tracker'!F:F,"&gt;="&amp;DATE(YEAR(TODAY()),MONTH(TODAY()),1),'DSA Problem Tracker'!F:F,"&lt;="&amp;TODAY())+COUNTIFS('Company Questions'!G:G,"&gt;="&amp;DATE(YEAR(TODAY()),MONTH(TODAY()),1),'Company Questions'!G:G,"&lt;="&amp;TODAY())</f>
        <v>0</v>
      </c>
      <c r="F11" s="17"/>
      <c r="G11" s="17"/>
      <c r="H11" s="18" t="n">
        <f aca="false">MAX('DSA Problem Tracker'!F:F,'Company Questions'!G:G)</f>
        <v>0</v>
      </c>
      <c r="I11" s="18"/>
      <c r="J11" s="18"/>
      <c r="K11" s="18"/>
    </row>
    <row r="13" customFormat="false" ht="7.5" hidden="false" customHeight="true" outlineLevel="0" collapsed="false"/>
    <row r="14" customFormat="false" ht="24.75" hidden="false" customHeight="true" outlineLevel="0" collapsed="false">
      <c r="B14" s="19" t="s">
        <v>9</v>
      </c>
      <c r="C14" s="19"/>
      <c r="D14" s="19"/>
      <c r="E14" s="19"/>
      <c r="F14" s="19"/>
      <c r="G14" s="19"/>
      <c r="H14" s="19"/>
      <c r="I14" s="19"/>
      <c r="J14" s="19"/>
      <c r="K14" s="19"/>
    </row>
    <row r="15" customFormat="false" ht="15" hidden="false" customHeight="true" outlineLevel="0" collapsed="false">
      <c r="B15" s="20"/>
      <c r="C15" s="20" t="s">
        <v>10</v>
      </c>
      <c r="D15" s="20" t="s">
        <v>11</v>
      </c>
      <c r="E15" s="20" t="s">
        <v>12</v>
      </c>
      <c r="F15" s="20" t="s">
        <v>13</v>
      </c>
      <c r="G15" s="20" t="s">
        <v>14</v>
      </c>
    </row>
    <row r="16" customFormat="false" ht="15" hidden="false" customHeight="true" outlineLevel="0" collapsed="false">
      <c r="B16" s="21" t="s">
        <v>15</v>
      </c>
      <c r="C16" s="22" t="n">
        <f aca="false">COUNTIF('DSA Problem Tracker'!D:D,"Easy")+COUNTIF('Company Questions'!D:D,"Easy")</f>
        <v>31</v>
      </c>
      <c r="D16" s="22" t="n">
        <f aca="false">COUNTIFS('DSA Problem Tracker'!D:D,"Easy",'DSA Problem Tracker'!E:E,"Solved")+COUNTIFS('Company Questions'!D:D,"Easy",'Company Questions'!F:F,"Solved")</f>
        <v>0</v>
      </c>
      <c r="E16" s="22" t="n">
        <f aca="false">COUNTIFS('DSA Problem Tracker'!D:D,"Easy",'DSA Problem Tracker'!E:E,"In Progress")+COUNTIFS('Company Questions'!D:D,"Easy",'Company Questions'!F:F,"In Progress")</f>
        <v>0</v>
      </c>
      <c r="F16" s="22" t="n">
        <f aca="false">C16-D16-E16</f>
        <v>31</v>
      </c>
      <c r="G16" s="23" t="n">
        <f aca="false">IF(C16&gt;0,D16/C16,0)</f>
        <v>0</v>
      </c>
    </row>
    <row r="17" customFormat="false" ht="15" hidden="false" customHeight="true" outlineLevel="0" collapsed="false">
      <c r="B17" s="24" t="s">
        <v>16</v>
      </c>
      <c r="C17" s="22" t="n">
        <f aca="false">COUNTIF('DSA Problem Tracker'!D:D,"Medium")+COUNTIF('Company Questions'!D:D,"Medium")</f>
        <v>203</v>
      </c>
      <c r="D17" s="22" t="n">
        <f aca="false">COUNTIFS('DSA Problem Tracker'!D:D,"Medium",'DSA Problem Tracker'!E:E,"Solved")+COUNTIFS('Company Questions'!D:D,"Medium",'Company Questions'!F:F,"Solved")</f>
        <v>0</v>
      </c>
      <c r="E17" s="22" t="n">
        <f aca="false">COUNTIFS('DSA Problem Tracker'!D:D,"Medium",'DSA Problem Tracker'!E:E,"In Progress")+COUNTIFS('Company Questions'!D:D,"Medium",'Company Questions'!F:F,"In Progress")</f>
        <v>0</v>
      </c>
      <c r="F17" s="22" t="n">
        <f aca="false">C17-D17-E17</f>
        <v>203</v>
      </c>
      <c r="G17" s="23" t="n">
        <f aca="false">IF(C17&gt;0,D17/C17,0)</f>
        <v>0</v>
      </c>
    </row>
    <row r="18" customFormat="false" ht="15" hidden="false" customHeight="true" outlineLevel="0" collapsed="false">
      <c r="B18" s="25" t="s">
        <v>17</v>
      </c>
      <c r="C18" s="22" t="n">
        <f aca="false">COUNTIF('DSA Problem Tracker'!D:D,"Hard")+COUNTIF('Company Questions'!D:D,"Hard")</f>
        <v>54</v>
      </c>
      <c r="D18" s="22" t="n">
        <f aca="false">COUNTIFS('DSA Problem Tracker'!D:D,"Hard",'DSA Problem Tracker'!E:E,"Solved")+COUNTIFS('Company Questions'!D:D,"Hard",'Company Questions'!F:F,"Solved")</f>
        <v>0</v>
      </c>
      <c r="E18" s="22" t="n">
        <f aca="false">COUNTIFS('DSA Problem Tracker'!D:D,"Hard",'DSA Problem Tracker'!E:E,"In Progress")+COUNTIFS('Company Questions'!D:D,"Hard",'Company Questions'!F:F,"In Progress")</f>
        <v>0</v>
      </c>
      <c r="F18" s="22" t="n">
        <f aca="false">C18-D18-E18</f>
        <v>54</v>
      </c>
      <c r="G18" s="23" t="n">
        <f aca="false">IF(C18&gt;0,D18/C18,0)</f>
        <v>0</v>
      </c>
    </row>
    <row r="20" customFormat="false" ht="7.5" hidden="false" customHeight="true" outlineLevel="0" collapsed="false"/>
    <row r="21" customFormat="false" ht="24.75" hidden="false" customHeight="true" outlineLevel="0" collapsed="false">
      <c r="B21" s="26" t="s">
        <v>18</v>
      </c>
      <c r="C21" s="26"/>
      <c r="D21" s="26"/>
      <c r="E21" s="26"/>
      <c r="F21" s="26"/>
      <c r="G21" s="26"/>
      <c r="H21" s="26"/>
      <c r="I21" s="26"/>
      <c r="J21" s="26"/>
      <c r="K21" s="26"/>
    </row>
    <row r="22" customFormat="false" ht="15" hidden="false" customHeight="true" outlineLevel="0" collapsed="false">
      <c r="B22" s="27" t="s">
        <v>19</v>
      </c>
      <c r="C22" s="27" t="s">
        <v>10</v>
      </c>
      <c r="D22" s="27" t="s">
        <v>11</v>
      </c>
      <c r="E22" s="27" t="s">
        <v>20</v>
      </c>
      <c r="F22" s="27" t="s">
        <v>21</v>
      </c>
    </row>
    <row r="23" customFormat="false" ht="15" hidden="false" customHeight="true" outlineLevel="0" collapsed="false">
      <c r="B23" s="28" t="s">
        <v>22</v>
      </c>
      <c r="C23" s="29" t="n">
        <f aca="false">COUNTIF('Company Questions'!B:B,"Google")</f>
        <v>1</v>
      </c>
      <c r="D23" s="29" t="n">
        <f aca="false">COUNTIFS('Company Questions'!B:B,"Google",'Company Questions'!F:F,"Solved")</f>
        <v>0</v>
      </c>
      <c r="E23" s="29" t="n">
        <f aca="false">COUNTIFS('Company Questions'!B:B,"Google",'Company Questions'!F:F,"In Progress")</f>
        <v>0</v>
      </c>
      <c r="F23" s="30" t="n">
        <f aca="false">IF(C23&gt;0,D23/C23,0)</f>
        <v>0</v>
      </c>
    </row>
    <row r="24" customFormat="false" ht="15" hidden="false" customHeight="true" outlineLevel="0" collapsed="false">
      <c r="B24" s="28" t="s">
        <v>23</v>
      </c>
      <c r="C24" s="31" t="n">
        <f aca="false">COUNTIF('Company Questions'!B:B,"Amazon")</f>
        <v>1</v>
      </c>
      <c r="D24" s="31" t="n">
        <f aca="false">COUNTIFS('Company Questions'!B:B,"Amazon",'Company Questions'!F:F,"Solved")</f>
        <v>0</v>
      </c>
      <c r="E24" s="31" t="n">
        <f aca="false">COUNTIFS('Company Questions'!B:B,"Amazon",'Company Questions'!F:F,"In Progress")</f>
        <v>0</v>
      </c>
      <c r="F24" s="32" t="n">
        <f aca="false">IF(C24&gt;0,D24/C24,0)</f>
        <v>0</v>
      </c>
    </row>
    <row r="25" customFormat="false" ht="15" hidden="false" customHeight="true" outlineLevel="0" collapsed="false">
      <c r="B25" s="28" t="s">
        <v>24</v>
      </c>
      <c r="C25" s="29" t="n">
        <f aca="false">COUNTIF('Company Questions'!B:B,"Microsoft")</f>
        <v>1</v>
      </c>
      <c r="D25" s="29" t="n">
        <f aca="false">COUNTIFS('Company Questions'!B:B,"Microsoft",'Company Questions'!F:F,"Solved")</f>
        <v>0</v>
      </c>
      <c r="E25" s="29" t="n">
        <f aca="false">COUNTIFS('Company Questions'!B:B,"Microsoft",'Company Questions'!F:F,"In Progress")</f>
        <v>0</v>
      </c>
      <c r="F25" s="30" t="n">
        <f aca="false">IF(C25&gt;0,D25/C25,0)</f>
        <v>0</v>
      </c>
    </row>
    <row r="26" customFormat="false" ht="15" hidden="false" customHeight="true" outlineLevel="0" collapsed="false">
      <c r="B26" s="28" t="s">
        <v>25</v>
      </c>
      <c r="C26" s="31" t="n">
        <f aca="false">COUNTIF('Company Questions'!B:B,"Meta")</f>
        <v>1</v>
      </c>
      <c r="D26" s="31" t="n">
        <f aca="false">COUNTIFS('Company Questions'!B:B,"Meta",'Company Questions'!F:F,"Solved")</f>
        <v>0</v>
      </c>
      <c r="E26" s="31" t="n">
        <f aca="false">COUNTIFS('Company Questions'!B:B,"Meta",'Company Questions'!F:F,"In Progress")</f>
        <v>0</v>
      </c>
      <c r="F26" s="32" t="n">
        <f aca="false">IF(C26&gt;0,D26/C26,0)</f>
        <v>0</v>
      </c>
    </row>
    <row r="27" customFormat="false" ht="15" hidden="false" customHeight="true" outlineLevel="0" collapsed="false">
      <c r="B27" s="28" t="s">
        <v>26</v>
      </c>
      <c r="C27" s="29" t="n">
        <f aca="false">COUNTIF('Company Questions'!B:B,"Apple")</f>
        <v>1</v>
      </c>
      <c r="D27" s="29" t="n">
        <f aca="false">COUNTIFS('Company Questions'!B:B,"Apple",'Company Questions'!F:F,"Solved")</f>
        <v>0</v>
      </c>
      <c r="E27" s="29" t="n">
        <f aca="false">COUNTIFS('Company Questions'!B:B,"Apple",'Company Questions'!F:F,"In Progress")</f>
        <v>0</v>
      </c>
      <c r="F27" s="30" t="n">
        <f aca="false">IF(C27&gt;0,D27/C27,0)</f>
        <v>0</v>
      </c>
    </row>
    <row r="28" customFormat="false" ht="15" hidden="false" customHeight="true" outlineLevel="0" collapsed="false">
      <c r="B28" s="28" t="s">
        <v>27</v>
      </c>
      <c r="C28" s="31" t="n">
        <f aca="false">COUNTIF('Company Questions'!B:B,"Netflix")</f>
        <v>1</v>
      </c>
      <c r="D28" s="31" t="n">
        <f aca="false">COUNTIFS('Company Questions'!B:B,"Netflix",'Company Questions'!F:F,"Solved")</f>
        <v>0</v>
      </c>
      <c r="E28" s="31" t="n">
        <f aca="false">COUNTIFS('Company Questions'!B:B,"Netflix",'Company Questions'!F:F,"In Progress")</f>
        <v>0</v>
      </c>
      <c r="F28" s="32" t="n">
        <f aca="false">IF(C28&gt;0,D28/C28,0)</f>
        <v>0</v>
      </c>
    </row>
    <row r="29" customFormat="false" ht="15" hidden="false" customHeight="true" outlineLevel="0" collapsed="false">
      <c r="B29" s="28" t="s">
        <v>28</v>
      </c>
      <c r="C29" s="29" t="n">
        <f aca="false">COUNTIF('Company Questions'!B:B,"Adobe")</f>
        <v>1</v>
      </c>
      <c r="D29" s="29" t="n">
        <f aca="false">COUNTIFS('Company Questions'!B:B,"Adobe",'Company Questions'!F:F,"Solved")</f>
        <v>0</v>
      </c>
      <c r="E29" s="29" t="n">
        <f aca="false">COUNTIFS('Company Questions'!B:B,"Adobe",'Company Questions'!F:F,"In Progress")</f>
        <v>0</v>
      </c>
      <c r="F29" s="30" t="n">
        <f aca="false">IF(C29&gt;0,D29/C29,0)</f>
        <v>0</v>
      </c>
    </row>
    <row r="30" customFormat="false" ht="15" hidden="false" customHeight="true" outlineLevel="0" collapsed="false">
      <c r="B30" s="28" t="s">
        <v>29</v>
      </c>
      <c r="C30" s="31" t="n">
        <f aca="false">COUNTIF('Company Questions'!B:B,"Uber")</f>
        <v>1</v>
      </c>
      <c r="D30" s="31" t="n">
        <f aca="false">COUNTIFS('Company Questions'!B:B,"Uber",'Company Questions'!F:F,"Solved")</f>
        <v>0</v>
      </c>
      <c r="E30" s="31" t="n">
        <f aca="false">COUNTIFS('Company Questions'!B:B,"Uber",'Company Questions'!F:F,"In Progress")</f>
        <v>0</v>
      </c>
      <c r="F30" s="32" t="n">
        <f aca="false">IF(C30&gt;0,D30/C30,0)</f>
        <v>0</v>
      </c>
    </row>
    <row r="31" customFormat="false" ht="15" hidden="false" customHeight="true" outlineLevel="0" collapsed="false">
      <c r="B31" s="28" t="s">
        <v>30</v>
      </c>
      <c r="C31" s="29" t="n">
        <f aca="false">COUNTIF('Company Questions'!B:B,"LinkedIn")</f>
        <v>1</v>
      </c>
      <c r="D31" s="29" t="n">
        <f aca="false">COUNTIFS('Company Questions'!B:B,"LinkedIn",'Company Questions'!F:F,"Solved")</f>
        <v>0</v>
      </c>
      <c r="E31" s="29" t="n">
        <f aca="false">COUNTIFS('Company Questions'!B:B,"LinkedIn",'Company Questions'!F:F,"In Progress")</f>
        <v>0</v>
      </c>
      <c r="F31" s="30" t="n">
        <f aca="false">IF(C31&gt;0,D31/C31,0)</f>
        <v>0</v>
      </c>
    </row>
    <row r="32" customFormat="false" ht="15" hidden="false" customHeight="true" outlineLevel="0" collapsed="false">
      <c r="B32" s="28" t="s">
        <v>31</v>
      </c>
      <c r="C32" s="31" t="n">
        <f aca="false">COUNTIF('Company Questions'!B:B,"Salesforce")</f>
        <v>1</v>
      </c>
      <c r="D32" s="31" t="n">
        <f aca="false">COUNTIFS('Company Questions'!B:B,"Salesforce",'Company Questions'!F:F,"Solved")</f>
        <v>0</v>
      </c>
      <c r="E32" s="31" t="n">
        <f aca="false">COUNTIFS('Company Questions'!B:B,"Salesforce",'Company Questions'!F:F,"In Progress")</f>
        <v>0</v>
      </c>
      <c r="F32" s="32" t="n">
        <f aca="false">IF(C32&gt;0,D32/C32,0)</f>
        <v>0</v>
      </c>
    </row>
    <row r="33" customFormat="false" ht="7.5" hidden="false" customHeight="true" outlineLevel="0" collapsed="false"/>
    <row r="34" customFormat="false" ht="24.75" hidden="false" customHeight="true" outlineLevel="0" collapsed="false">
      <c r="B34" s="33" t="s">
        <v>32</v>
      </c>
      <c r="C34" s="33"/>
      <c r="D34" s="33"/>
      <c r="E34" s="33"/>
      <c r="F34" s="33"/>
      <c r="G34" s="33"/>
      <c r="H34" s="33"/>
      <c r="I34" s="33"/>
      <c r="J34" s="33"/>
      <c r="K34" s="33"/>
    </row>
    <row r="35" customFormat="false" ht="15" hidden="false" customHeight="true" outlineLevel="0" collapsed="false">
      <c r="B35" s="34" t="s">
        <v>33</v>
      </c>
      <c r="C35" s="34" t="s">
        <v>10</v>
      </c>
      <c r="D35" s="34" t="s">
        <v>11</v>
      </c>
      <c r="E35" s="34" t="s">
        <v>20</v>
      </c>
      <c r="F35" s="34" t="s">
        <v>34</v>
      </c>
    </row>
    <row r="36" customFormat="false" ht="15" hidden="false" customHeight="true" outlineLevel="0" collapsed="false">
      <c r="B36" s="35" t="s">
        <v>35</v>
      </c>
      <c r="C36" s="31" t="n">
        <v>13</v>
      </c>
      <c r="D36" s="31" t="n">
        <f aca="false">COUNTIFS('DSA Problem Tracker'!B:B,"*Sliding Window*",'DSA Problem Tracker'!E:E,"Solved")</f>
        <v>0</v>
      </c>
      <c r="E36" s="31" t="n">
        <f aca="false">COUNTIFS('DSA Problem Tracker'!B:B,"*Sliding Window*",'DSA Problem Tracker'!E:E,"In Progress")</f>
        <v>0</v>
      </c>
      <c r="F36" s="32" t="n">
        <f aca="false">IF(C36&gt;0,D36/C36,0)</f>
        <v>0</v>
      </c>
    </row>
    <row r="37" customFormat="false" ht="15" hidden="false" customHeight="true" outlineLevel="0" collapsed="false">
      <c r="B37" s="35" t="s">
        <v>36</v>
      </c>
      <c r="C37" s="29" t="n">
        <v>49</v>
      </c>
      <c r="D37" s="29" t="n">
        <f aca="false">COUNTIFS('DSA Problem Tracker'!B:B,"*Dynamic Programming*",'DSA Problem Tracker'!E:E,"Solved")</f>
        <v>0</v>
      </c>
      <c r="E37" s="29" t="n">
        <f aca="false">COUNTIFS('DSA Problem Tracker'!B:B,"*Dynamic Programming*",'DSA Problem Tracker'!E:E,"In Progress")</f>
        <v>0</v>
      </c>
      <c r="F37" s="30" t="n">
        <f aca="false">IF(C37&gt;0,D37/C37,0)</f>
        <v>0</v>
      </c>
    </row>
    <row r="38" customFormat="false" ht="15" hidden="false" customHeight="true" outlineLevel="0" collapsed="false">
      <c r="B38" s="35" t="s">
        <v>37</v>
      </c>
      <c r="C38" s="31" t="n">
        <v>32</v>
      </c>
      <c r="D38" s="31" t="n">
        <f aca="false">COUNTIFS('DSA Problem Tracker'!B:B,"*Trees*",'DSA Problem Tracker'!E:E,"Solved")</f>
        <v>0</v>
      </c>
      <c r="E38" s="31" t="n">
        <f aca="false">COUNTIFS('DSA Problem Tracker'!B:B,"*Trees*",'DSA Problem Tracker'!E:E,"In Progress")</f>
        <v>0</v>
      </c>
      <c r="F38" s="32" t="n">
        <f aca="false">IF(C38&gt;0,D38/C38,0)</f>
        <v>0</v>
      </c>
    </row>
    <row r="39" customFormat="false" ht="15" hidden="false" customHeight="true" outlineLevel="0" collapsed="false">
      <c r="B39" s="35" t="s">
        <v>38</v>
      </c>
      <c r="C39" s="29" t="n">
        <v>13</v>
      </c>
      <c r="D39" s="29" t="n">
        <f aca="false">COUNTIFS('DSA Problem Tracker'!B:B,"*Graphs*",'DSA Problem Tracker'!E:E,"Solved")</f>
        <v>0</v>
      </c>
      <c r="E39" s="29" t="n">
        <f aca="false">COUNTIFS('DSA Problem Tracker'!B:B,"*Graphs*",'DSA Problem Tracker'!E:E,"In Progress")</f>
        <v>0</v>
      </c>
      <c r="F39" s="30" t="n">
        <f aca="false">IF(C39&gt;0,D39/C39,0)</f>
        <v>0</v>
      </c>
    </row>
    <row r="40" customFormat="false" ht="15" hidden="false" customHeight="true" outlineLevel="0" collapsed="false">
      <c r="B40" s="35" t="s">
        <v>39</v>
      </c>
      <c r="C40" s="31" t="n">
        <v>7</v>
      </c>
      <c r="D40" s="31" t="n">
        <f aca="false">COUNTIFS('DSA Problem Tracker'!B:B,"*Backtracking*",'DSA Problem Tracker'!E:E,"Solved")</f>
        <v>0</v>
      </c>
      <c r="E40" s="31" t="n">
        <f aca="false">COUNTIFS('DSA Problem Tracker'!B:B,"*Backtracking*",'DSA Problem Tracker'!E:E,"In Progress")</f>
        <v>0</v>
      </c>
      <c r="F40" s="32" t="n">
        <f aca="false">IF(C40&gt;0,D40/C40,0)</f>
        <v>0</v>
      </c>
    </row>
    <row r="41" customFormat="false" ht="15" hidden="false" customHeight="true" outlineLevel="0" collapsed="false">
      <c r="B41" s="35" t="s">
        <v>40</v>
      </c>
      <c r="C41" s="29" t="n">
        <v>6</v>
      </c>
      <c r="D41" s="29" t="n">
        <f aca="false">COUNTIFS('DSA Problem Tracker'!B:B,"*Two Pointers*",'DSA Problem Tracker'!E:E,"Solved")</f>
        <v>0</v>
      </c>
      <c r="E41" s="29" t="n">
        <f aca="false">COUNTIFS('DSA Problem Tracker'!B:B,"*Two Pointers*",'DSA Problem Tracker'!E:E,"In Progress")</f>
        <v>0</v>
      </c>
      <c r="F41" s="30" t="n">
        <f aca="false">IF(C41&gt;0,D41/C41,0)</f>
        <v>0</v>
      </c>
    </row>
    <row r="42" customFormat="false" ht="15" hidden="false" customHeight="true" outlineLevel="0" collapsed="false">
      <c r="B42" s="35" t="s">
        <v>41</v>
      </c>
      <c r="C42" s="31" t="n">
        <v>9</v>
      </c>
      <c r="D42" s="31" t="n">
        <f aca="false">COUNTIFS('DSA Problem Tracker'!B:B,"*Binary Search*",'DSA Problem Tracker'!E:E,"Solved")</f>
        <v>0</v>
      </c>
      <c r="E42" s="31" t="n">
        <f aca="false">COUNTIFS('DSA Problem Tracker'!B:B,"*Binary Search*",'DSA Problem Tracker'!E:E,"In Progress")</f>
        <v>0</v>
      </c>
      <c r="F42" s="32" t="n">
        <f aca="false">IF(C42&gt;0,D42/C42,0)</f>
        <v>0</v>
      </c>
    </row>
    <row r="43" customFormat="false" ht="15" hidden="false" customHeight="true" outlineLevel="0" collapsed="false">
      <c r="B43" s="35" t="s">
        <v>42</v>
      </c>
      <c r="C43" s="29" t="n">
        <v>9</v>
      </c>
      <c r="D43" s="29" t="n">
        <f aca="false">COUNTIFS('DSA Problem Tracker'!B:B,"*BFS/DFS*",'DSA Problem Tracker'!E:E,"Solved")</f>
        <v>0</v>
      </c>
      <c r="E43" s="29" t="n">
        <f aca="false">COUNTIFS('DSA Problem Tracker'!B:B,"*BFS/DFS*",'DSA Problem Tracker'!E:E,"In Progress")</f>
        <v>0</v>
      </c>
      <c r="F43" s="30" t="n">
        <f aca="false">IF(C43&gt;0,D43/C43,0)</f>
        <v>0</v>
      </c>
    </row>
    <row r="44" customFormat="false" ht="15" hidden="false" customHeight="true" outlineLevel="0" collapsed="false">
      <c r="B44" s="35" t="s">
        <v>43</v>
      </c>
      <c r="C44" s="31" t="n">
        <v>13</v>
      </c>
      <c r="D44" s="31" t="n">
        <f aca="false">COUNTIFS('DSA Problem Tracker'!B:B,"*Heaps &amp; Stacks*",'DSA Problem Tracker'!E:E,"Solved")</f>
        <v>0</v>
      </c>
      <c r="E44" s="31" t="n">
        <f aca="false">COUNTIFS('DSA Problem Tracker'!B:B,"*Heaps &amp; Stacks*",'DSA Problem Tracker'!E:E,"In Progress")</f>
        <v>0</v>
      </c>
      <c r="F44" s="32" t="n">
        <f aca="false">IF(C44&gt;0,D44/C44,0)</f>
        <v>0</v>
      </c>
    </row>
    <row r="45" customFormat="false" ht="15" hidden="false" customHeight="true" outlineLevel="0" collapsed="false">
      <c r="B45" s="35" t="s">
        <v>44</v>
      </c>
      <c r="C45" s="29" t="n">
        <v>7</v>
      </c>
      <c r="D45" s="29" t="n">
        <f aca="false">COUNTIFS('DSA Problem Tracker'!B:B,"*Linked List*",'DSA Problem Tracker'!E:E,"Solved")</f>
        <v>0</v>
      </c>
      <c r="E45" s="29" t="n">
        <f aca="false">COUNTIFS('DSA Problem Tracker'!B:B,"*Linked List*",'DSA Problem Tracker'!E:E,"In Progress")</f>
        <v>0</v>
      </c>
      <c r="F45" s="30" t="n">
        <f aca="false">IF(C45&gt;0,D45/C45,0)</f>
        <v>0</v>
      </c>
    </row>
    <row r="46" customFormat="false" ht="7.5" hidden="false" customHeight="true" outlineLevel="0" collapsed="false"/>
    <row r="47" customFormat="false" ht="19.5" hidden="false" customHeight="true" outlineLevel="0" collapsed="false">
      <c r="B47" s="36" t="s">
        <v>45</v>
      </c>
      <c r="C47" s="36"/>
      <c r="D47" s="36"/>
      <c r="E47" s="36"/>
      <c r="F47" s="36"/>
      <c r="G47" s="36"/>
      <c r="H47" s="36"/>
      <c r="I47" s="36"/>
      <c r="J47" s="36"/>
      <c r="K47" s="36"/>
    </row>
    <row r="48" customFormat="false" ht="19.5" hidden="false" customHeight="true" outlineLevel="0" collapsed="false">
      <c r="B48" s="36"/>
      <c r="C48" s="36"/>
      <c r="D48" s="36"/>
      <c r="E48" s="36"/>
      <c r="F48" s="36"/>
      <c r="G48" s="36"/>
      <c r="H48" s="36"/>
      <c r="I48" s="36"/>
      <c r="J48" s="36"/>
      <c r="K48" s="36"/>
    </row>
  </sheetData>
  <mergeCells count="21">
    <mergeCell ref="B2:K3"/>
    <mergeCell ref="B5:C6"/>
    <mergeCell ref="D5:E6"/>
    <mergeCell ref="F5:G6"/>
    <mergeCell ref="H5:I6"/>
    <mergeCell ref="J5:K6"/>
    <mergeCell ref="B7:C7"/>
    <mergeCell ref="D7:E7"/>
    <mergeCell ref="F7:G7"/>
    <mergeCell ref="H7:I7"/>
    <mergeCell ref="J7:K7"/>
    <mergeCell ref="B10:D10"/>
    <mergeCell ref="E10:G10"/>
    <mergeCell ref="H10:K10"/>
    <mergeCell ref="B11:D11"/>
    <mergeCell ref="E11:G11"/>
    <mergeCell ref="H11:K11"/>
    <mergeCell ref="B14:K14"/>
    <mergeCell ref="B21:K21"/>
    <mergeCell ref="B34:K34"/>
    <mergeCell ref="B47:K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35"/>
    <col collapsed="false" customWidth="true" hidden="false" outlineLevel="0" max="8" min="8" style="1" width="10"/>
  </cols>
  <sheetData>
    <row r="1" customFormat="false" ht="15" hidden="false" customHeight="true" outlineLevel="0" collapsed="false">
      <c r="A1" s="37" t="s">
        <v>46</v>
      </c>
      <c r="B1" s="37" t="s">
        <v>47</v>
      </c>
      <c r="C1" s="37" t="s">
        <v>48</v>
      </c>
      <c r="D1" s="37" t="s">
        <v>49</v>
      </c>
      <c r="E1" s="37" t="s">
        <v>50</v>
      </c>
      <c r="F1" s="37" t="s">
        <v>51</v>
      </c>
      <c r="G1" s="37" t="s">
        <v>52</v>
      </c>
      <c r="H1" s="37" t="s">
        <v>53</v>
      </c>
    </row>
    <row r="2" customFormat="false" ht="15" hidden="false" customHeight="true" outlineLevel="0" collapsed="false">
      <c r="A2" s="38" t="n">
        <v>1</v>
      </c>
      <c r="B2" s="39" t="s">
        <v>54</v>
      </c>
      <c r="C2" s="40" t="s">
        <v>55</v>
      </c>
      <c r="D2" s="38" t="s">
        <v>56</v>
      </c>
      <c r="E2" s="38"/>
      <c r="F2" s="40"/>
      <c r="G2" s="41"/>
      <c r="H2" s="38"/>
    </row>
    <row r="3" customFormat="false" ht="15" hidden="false" customHeight="true" outlineLevel="0" collapsed="false">
      <c r="A3" s="38" t="n">
        <v>2</v>
      </c>
      <c r="B3" s="39"/>
      <c r="C3" s="40" t="s">
        <v>57</v>
      </c>
      <c r="D3" s="38" t="s">
        <v>56</v>
      </c>
      <c r="E3" s="38"/>
      <c r="F3" s="40"/>
      <c r="G3" s="41"/>
      <c r="H3" s="38"/>
    </row>
    <row r="4" customFormat="false" ht="15" hidden="false" customHeight="true" outlineLevel="0" collapsed="false">
      <c r="A4" s="38" t="n">
        <v>3</v>
      </c>
      <c r="B4" s="39"/>
      <c r="C4" s="40" t="s">
        <v>58</v>
      </c>
      <c r="D4" s="38" t="s">
        <v>56</v>
      </c>
      <c r="E4" s="38"/>
      <c r="F4" s="40"/>
      <c r="G4" s="41"/>
      <c r="H4" s="38"/>
    </row>
    <row r="5" customFormat="false" ht="15" hidden="false" customHeight="true" outlineLevel="0" collapsed="false">
      <c r="A5" s="38" t="n">
        <v>4</v>
      </c>
      <c r="B5" s="39"/>
      <c r="C5" s="40" t="s">
        <v>59</v>
      </c>
      <c r="D5" s="38" t="s">
        <v>60</v>
      </c>
      <c r="E5" s="38"/>
      <c r="F5" s="40"/>
      <c r="G5" s="41"/>
      <c r="H5" s="38"/>
    </row>
    <row r="6" customFormat="false" ht="15" hidden="false" customHeight="true" outlineLevel="0" collapsed="false">
      <c r="A6" s="38" t="n">
        <v>5</v>
      </c>
      <c r="B6" s="39" t="s">
        <v>61</v>
      </c>
      <c r="C6" s="40" t="s">
        <v>62</v>
      </c>
      <c r="D6" s="38" t="s">
        <v>56</v>
      </c>
      <c r="E6" s="38"/>
      <c r="F6" s="40"/>
      <c r="G6" s="41"/>
      <c r="H6" s="38"/>
    </row>
    <row r="7" customFormat="false" ht="15" hidden="false" customHeight="true" outlineLevel="0" collapsed="false">
      <c r="A7" s="38" t="n">
        <v>6</v>
      </c>
      <c r="B7" s="39"/>
      <c r="C7" s="40" t="s">
        <v>63</v>
      </c>
      <c r="D7" s="38" t="s">
        <v>56</v>
      </c>
      <c r="E7" s="38"/>
      <c r="F7" s="40"/>
      <c r="G7" s="41"/>
      <c r="H7" s="38"/>
    </row>
    <row r="8" customFormat="false" ht="15" hidden="false" customHeight="true" outlineLevel="0" collapsed="false">
      <c r="A8" s="38" t="n">
        <v>7</v>
      </c>
      <c r="B8" s="39"/>
      <c r="C8" s="40" t="s">
        <v>64</v>
      </c>
      <c r="D8" s="38" t="s">
        <v>56</v>
      </c>
      <c r="E8" s="38"/>
      <c r="F8" s="40"/>
      <c r="G8" s="41"/>
      <c r="H8" s="38"/>
    </row>
    <row r="9" customFormat="false" ht="15" hidden="false" customHeight="true" outlineLevel="0" collapsed="false">
      <c r="A9" s="38" t="n">
        <v>8</v>
      </c>
      <c r="B9" s="39"/>
      <c r="C9" s="40" t="s">
        <v>65</v>
      </c>
      <c r="D9" s="38" t="s">
        <v>56</v>
      </c>
      <c r="E9" s="38"/>
      <c r="F9" s="40"/>
      <c r="G9" s="41"/>
      <c r="H9" s="38"/>
    </row>
    <row r="10" customFormat="false" ht="15" hidden="false" customHeight="true" outlineLevel="0" collapsed="false">
      <c r="A10" s="38" t="n">
        <v>9</v>
      </c>
      <c r="B10" s="39"/>
      <c r="C10" s="40" t="s">
        <v>66</v>
      </c>
      <c r="D10" s="38" t="s">
        <v>56</v>
      </c>
      <c r="E10" s="38"/>
      <c r="F10" s="40"/>
      <c r="G10" s="41"/>
      <c r="H10" s="38"/>
    </row>
    <row r="11" customFormat="false" ht="15" hidden="false" customHeight="true" outlineLevel="0" collapsed="false">
      <c r="A11" s="38" t="n">
        <v>10</v>
      </c>
      <c r="B11" s="39" t="s">
        <v>67</v>
      </c>
      <c r="C11" s="40" t="s">
        <v>68</v>
      </c>
      <c r="D11" s="38" t="s">
        <v>60</v>
      </c>
      <c r="E11" s="38"/>
      <c r="F11" s="40"/>
      <c r="G11" s="41"/>
      <c r="H11" s="38"/>
    </row>
    <row r="12" customFormat="false" ht="15" hidden="false" customHeight="true" outlineLevel="0" collapsed="false">
      <c r="A12" s="38" t="n">
        <v>11</v>
      </c>
      <c r="B12" s="39"/>
      <c r="C12" s="40" t="s">
        <v>69</v>
      </c>
      <c r="D12" s="38" t="s">
        <v>56</v>
      </c>
      <c r="E12" s="38"/>
      <c r="F12" s="40"/>
      <c r="G12" s="41"/>
      <c r="H12" s="38"/>
    </row>
    <row r="13" customFormat="false" ht="15" hidden="false" customHeight="true" outlineLevel="0" collapsed="false">
      <c r="A13" s="38" t="n">
        <v>12</v>
      </c>
      <c r="B13" s="39"/>
      <c r="C13" s="40" t="s">
        <v>70</v>
      </c>
      <c r="D13" s="38" t="s">
        <v>56</v>
      </c>
      <c r="E13" s="38"/>
      <c r="F13" s="40"/>
      <c r="G13" s="41"/>
      <c r="H13" s="38"/>
    </row>
    <row r="14" customFormat="false" ht="15" hidden="false" customHeight="true" outlineLevel="0" collapsed="false">
      <c r="A14" s="38" t="n">
        <v>13</v>
      </c>
      <c r="B14" s="39"/>
      <c r="C14" s="40" t="s">
        <v>71</v>
      </c>
      <c r="D14" s="38" t="s">
        <v>56</v>
      </c>
      <c r="E14" s="38"/>
      <c r="F14" s="40"/>
      <c r="G14" s="41"/>
      <c r="H14" s="38"/>
    </row>
    <row r="15" customFormat="false" ht="15" hidden="false" customHeight="true" outlineLevel="0" collapsed="false">
      <c r="A15" s="38" t="n">
        <v>14</v>
      </c>
      <c r="B15" s="39"/>
      <c r="C15" s="40" t="s">
        <v>72</v>
      </c>
      <c r="D15" s="38" t="s">
        <v>56</v>
      </c>
      <c r="E15" s="38"/>
      <c r="F15" s="40"/>
      <c r="G15" s="41"/>
      <c r="H15" s="38"/>
    </row>
    <row r="16" customFormat="false" ht="15" hidden="false" customHeight="true" outlineLevel="0" collapsed="false">
      <c r="A16" s="38" t="n">
        <v>15</v>
      </c>
      <c r="B16" s="39" t="s">
        <v>73</v>
      </c>
      <c r="C16" s="40" t="s">
        <v>74</v>
      </c>
      <c r="D16" s="38" t="s">
        <v>60</v>
      </c>
      <c r="E16" s="38"/>
      <c r="F16" s="40"/>
      <c r="G16" s="41"/>
      <c r="H16" s="38"/>
    </row>
    <row r="17" customFormat="false" ht="15" hidden="false" customHeight="true" outlineLevel="0" collapsed="false">
      <c r="A17" s="38" t="n">
        <v>16</v>
      </c>
      <c r="B17" s="39"/>
      <c r="C17" s="40" t="s">
        <v>75</v>
      </c>
      <c r="D17" s="38" t="s">
        <v>56</v>
      </c>
      <c r="E17" s="38"/>
      <c r="F17" s="40"/>
      <c r="G17" s="41"/>
      <c r="H17" s="38"/>
    </row>
    <row r="18" customFormat="false" ht="15" hidden="false" customHeight="true" outlineLevel="0" collapsed="false">
      <c r="A18" s="38" t="n">
        <v>17</v>
      </c>
      <c r="B18" s="39"/>
      <c r="C18" s="40" t="s">
        <v>76</v>
      </c>
      <c r="D18" s="38" t="s">
        <v>56</v>
      </c>
      <c r="E18" s="38"/>
      <c r="F18" s="40"/>
      <c r="G18" s="41"/>
      <c r="H18" s="38"/>
    </row>
    <row r="19" customFormat="false" ht="15" hidden="false" customHeight="true" outlineLevel="0" collapsed="false">
      <c r="A19" s="38" t="n">
        <v>18</v>
      </c>
      <c r="B19" s="39"/>
      <c r="C19" s="40" t="s">
        <v>77</v>
      </c>
      <c r="D19" s="38" t="s">
        <v>56</v>
      </c>
      <c r="E19" s="38"/>
      <c r="F19" s="40"/>
      <c r="G19" s="41"/>
      <c r="H19" s="38"/>
    </row>
    <row r="20" customFormat="false" ht="15" hidden="false" customHeight="true" outlineLevel="0" collapsed="false">
      <c r="A20" s="38" t="n">
        <v>19</v>
      </c>
      <c r="B20" s="39"/>
      <c r="C20" s="40" t="s">
        <v>78</v>
      </c>
      <c r="D20" s="38" t="s">
        <v>56</v>
      </c>
      <c r="E20" s="38"/>
      <c r="F20" s="40"/>
      <c r="G20" s="41"/>
      <c r="H20" s="38"/>
    </row>
    <row r="21" customFormat="false" ht="15" hidden="false" customHeight="true" outlineLevel="0" collapsed="false">
      <c r="A21" s="38" t="n">
        <v>20</v>
      </c>
      <c r="B21" s="39"/>
      <c r="C21" s="40" t="s">
        <v>79</v>
      </c>
      <c r="D21" s="38" t="s">
        <v>80</v>
      </c>
      <c r="E21" s="38"/>
      <c r="F21" s="40"/>
      <c r="G21" s="41"/>
      <c r="H21" s="38"/>
    </row>
    <row r="22" customFormat="false" ht="15" hidden="false" customHeight="true" outlineLevel="0" collapsed="false">
      <c r="A22" s="38" t="n">
        <v>21</v>
      </c>
      <c r="B22" s="39" t="s">
        <v>81</v>
      </c>
      <c r="C22" s="40" t="s">
        <v>82</v>
      </c>
      <c r="D22" s="38" t="s">
        <v>56</v>
      </c>
      <c r="E22" s="38"/>
      <c r="F22" s="40"/>
      <c r="G22" s="41"/>
      <c r="H22" s="38"/>
    </row>
    <row r="23" customFormat="false" ht="15" hidden="false" customHeight="true" outlineLevel="0" collapsed="false">
      <c r="A23" s="38" t="n">
        <v>22</v>
      </c>
      <c r="B23" s="39"/>
      <c r="C23" s="40" t="s">
        <v>83</v>
      </c>
      <c r="D23" s="38" t="s">
        <v>56</v>
      </c>
      <c r="E23" s="38"/>
      <c r="F23" s="40"/>
      <c r="G23" s="41"/>
      <c r="H23" s="38"/>
    </row>
    <row r="24" customFormat="false" ht="15" hidden="false" customHeight="true" outlineLevel="0" collapsed="false">
      <c r="A24" s="38" t="n">
        <v>23</v>
      </c>
      <c r="B24" s="39"/>
      <c r="C24" s="40" t="s">
        <v>84</v>
      </c>
      <c r="D24" s="38" t="s">
        <v>56</v>
      </c>
      <c r="E24" s="38"/>
      <c r="F24" s="40"/>
      <c r="G24" s="41"/>
      <c r="H24" s="38"/>
    </row>
    <row r="25" customFormat="false" ht="15" hidden="false" customHeight="true" outlineLevel="0" collapsed="false">
      <c r="A25" s="38" t="n">
        <v>24</v>
      </c>
      <c r="B25" s="39"/>
      <c r="C25" s="40" t="s">
        <v>85</v>
      </c>
      <c r="D25" s="38" t="s">
        <v>60</v>
      </c>
      <c r="E25" s="38"/>
      <c r="F25" s="40"/>
      <c r="G25" s="41"/>
      <c r="H25" s="38"/>
    </row>
    <row r="26" customFormat="false" ht="15" hidden="false" customHeight="true" outlineLevel="0" collapsed="false">
      <c r="A26" s="38" t="n">
        <v>25</v>
      </c>
      <c r="B26" s="39"/>
      <c r="C26" s="40" t="s">
        <v>86</v>
      </c>
      <c r="D26" s="38" t="s">
        <v>56</v>
      </c>
      <c r="E26" s="38"/>
      <c r="F26" s="40"/>
      <c r="G26" s="41"/>
      <c r="H26" s="38"/>
    </row>
    <row r="27" customFormat="false" ht="15" hidden="false" customHeight="true" outlineLevel="0" collapsed="false">
      <c r="A27" s="38" t="n">
        <v>26</v>
      </c>
      <c r="B27" s="39"/>
      <c r="C27" s="40" t="s">
        <v>87</v>
      </c>
      <c r="D27" s="38" t="s">
        <v>56</v>
      </c>
      <c r="E27" s="38"/>
      <c r="F27" s="40"/>
      <c r="G27" s="41"/>
      <c r="H27" s="38"/>
    </row>
    <row r="28" customFormat="false" ht="15" hidden="false" customHeight="true" outlineLevel="0" collapsed="false">
      <c r="A28" s="38" t="n">
        <v>27</v>
      </c>
      <c r="B28" s="39"/>
      <c r="C28" s="40" t="s">
        <v>88</v>
      </c>
      <c r="D28" s="38" t="s">
        <v>80</v>
      </c>
      <c r="E28" s="38"/>
      <c r="F28" s="40"/>
      <c r="G28" s="41"/>
      <c r="H28" s="38"/>
    </row>
    <row r="29" customFormat="false" ht="15" hidden="false" customHeight="true" outlineLevel="0" collapsed="false">
      <c r="A29" s="38" t="n">
        <v>28</v>
      </c>
      <c r="B29" s="39" t="s">
        <v>89</v>
      </c>
      <c r="C29" s="40" t="s">
        <v>90</v>
      </c>
      <c r="D29" s="38" t="s">
        <v>56</v>
      </c>
      <c r="E29" s="38"/>
      <c r="F29" s="40"/>
      <c r="G29" s="41"/>
      <c r="H29" s="38"/>
    </row>
    <row r="30" customFormat="false" ht="15" hidden="false" customHeight="true" outlineLevel="0" collapsed="false">
      <c r="A30" s="38" t="n">
        <v>29</v>
      </c>
      <c r="B30" s="39"/>
      <c r="C30" s="40" t="s">
        <v>91</v>
      </c>
      <c r="D30" s="38" t="s">
        <v>56</v>
      </c>
      <c r="E30" s="38"/>
      <c r="F30" s="40"/>
      <c r="G30" s="41"/>
      <c r="H30" s="38"/>
    </row>
    <row r="31" customFormat="false" ht="15" hidden="false" customHeight="true" outlineLevel="0" collapsed="false">
      <c r="A31" s="38" t="n">
        <v>30</v>
      </c>
      <c r="B31" s="39"/>
      <c r="C31" s="40" t="s">
        <v>92</v>
      </c>
      <c r="D31" s="38" t="s">
        <v>56</v>
      </c>
      <c r="E31" s="38"/>
      <c r="F31" s="40"/>
      <c r="G31" s="41"/>
      <c r="H31" s="38"/>
    </row>
    <row r="32" customFormat="false" ht="15" hidden="false" customHeight="true" outlineLevel="0" collapsed="false">
      <c r="A32" s="38" t="n">
        <v>31</v>
      </c>
      <c r="B32" s="39"/>
      <c r="C32" s="40" t="s">
        <v>93</v>
      </c>
      <c r="D32" s="38" t="s">
        <v>56</v>
      </c>
      <c r="E32" s="38"/>
      <c r="F32" s="40"/>
      <c r="G32" s="41"/>
      <c r="H32" s="38"/>
    </row>
    <row r="33" customFormat="false" ht="15" hidden="false" customHeight="true" outlineLevel="0" collapsed="false">
      <c r="A33" s="38" t="n">
        <v>32</v>
      </c>
      <c r="B33" s="39"/>
      <c r="C33" s="40" t="s">
        <v>94</v>
      </c>
      <c r="D33" s="38" t="s">
        <v>56</v>
      </c>
      <c r="E33" s="38"/>
      <c r="F33" s="40"/>
      <c r="G33" s="41"/>
      <c r="H33" s="38"/>
    </row>
    <row r="34" customFormat="false" ht="15" hidden="false" customHeight="true" outlineLevel="0" collapsed="false">
      <c r="A34" s="38" t="n">
        <v>33</v>
      </c>
      <c r="B34" s="39"/>
      <c r="C34" s="40" t="s">
        <v>95</v>
      </c>
      <c r="D34" s="38" t="s">
        <v>80</v>
      </c>
      <c r="E34" s="38"/>
      <c r="F34" s="40"/>
      <c r="G34" s="41"/>
      <c r="H34" s="38"/>
    </row>
    <row r="35" customFormat="false" ht="15" hidden="false" customHeight="true" outlineLevel="0" collapsed="false">
      <c r="A35" s="38" t="n">
        <v>34</v>
      </c>
      <c r="B35" s="39" t="s">
        <v>96</v>
      </c>
      <c r="C35" s="40" t="s">
        <v>97</v>
      </c>
      <c r="D35" s="38" t="s">
        <v>60</v>
      </c>
      <c r="E35" s="38"/>
      <c r="F35" s="40"/>
      <c r="G35" s="41"/>
      <c r="H35" s="38"/>
    </row>
    <row r="36" customFormat="false" ht="15" hidden="false" customHeight="true" outlineLevel="0" collapsed="false">
      <c r="A36" s="38" t="n">
        <v>35</v>
      </c>
      <c r="B36" s="39"/>
      <c r="C36" s="40" t="s">
        <v>98</v>
      </c>
      <c r="D36" s="38" t="s">
        <v>60</v>
      </c>
      <c r="E36" s="38"/>
      <c r="F36" s="40"/>
      <c r="G36" s="41"/>
      <c r="H36" s="38"/>
    </row>
    <row r="37" customFormat="false" ht="15" hidden="false" customHeight="true" outlineLevel="0" collapsed="false">
      <c r="A37" s="38" t="n">
        <v>36</v>
      </c>
      <c r="B37" s="39"/>
      <c r="C37" s="40" t="s">
        <v>99</v>
      </c>
      <c r="D37" s="38" t="s">
        <v>60</v>
      </c>
      <c r="E37" s="38"/>
      <c r="F37" s="40"/>
      <c r="G37" s="41"/>
      <c r="H37" s="38"/>
    </row>
    <row r="38" customFormat="false" ht="15" hidden="false" customHeight="true" outlineLevel="0" collapsed="false">
      <c r="A38" s="38" t="n">
        <v>37</v>
      </c>
      <c r="B38" s="39"/>
      <c r="C38" s="40" t="s">
        <v>100</v>
      </c>
      <c r="D38" s="38" t="s">
        <v>80</v>
      </c>
      <c r="E38" s="38"/>
      <c r="F38" s="40"/>
      <c r="G38" s="41"/>
      <c r="H38" s="38"/>
    </row>
    <row r="39" customFormat="false" ht="15" hidden="false" customHeight="true" outlineLevel="0" collapsed="false">
      <c r="A39" s="38" t="n">
        <v>38</v>
      </c>
      <c r="B39" s="39" t="s">
        <v>101</v>
      </c>
      <c r="C39" s="40" t="s">
        <v>102</v>
      </c>
      <c r="D39" s="38" t="s">
        <v>60</v>
      </c>
      <c r="E39" s="38"/>
      <c r="F39" s="40"/>
      <c r="G39" s="41"/>
      <c r="H39" s="38"/>
    </row>
    <row r="40" customFormat="false" ht="15" hidden="false" customHeight="true" outlineLevel="0" collapsed="false">
      <c r="A40" s="38" t="n">
        <v>39</v>
      </c>
      <c r="B40" s="39"/>
      <c r="C40" s="40" t="s">
        <v>103</v>
      </c>
      <c r="D40" s="38" t="s">
        <v>80</v>
      </c>
      <c r="E40" s="38"/>
      <c r="F40" s="40"/>
      <c r="G40" s="41"/>
      <c r="H40" s="38"/>
    </row>
    <row r="41" customFormat="false" ht="15" hidden="false" customHeight="true" outlineLevel="0" collapsed="false">
      <c r="A41" s="38" t="n">
        <v>40</v>
      </c>
      <c r="B41" s="39"/>
      <c r="C41" s="40" t="s">
        <v>104</v>
      </c>
      <c r="D41" s="38" t="s">
        <v>56</v>
      </c>
      <c r="E41" s="38"/>
      <c r="F41" s="40"/>
      <c r="G41" s="41"/>
      <c r="H41" s="38"/>
    </row>
    <row r="42" customFormat="false" ht="15" hidden="false" customHeight="true" outlineLevel="0" collapsed="false">
      <c r="A42" s="38" t="n">
        <v>41</v>
      </c>
      <c r="B42" s="39" t="s">
        <v>105</v>
      </c>
      <c r="C42" s="40" t="s">
        <v>106</v>
      </c>
      <c r="D42" s="38" t="s">
        <v>56</v>
      </c>
      <c r="E42" s="38"/>
      <c r="F42" s="40"/>
      <c r="G42" s="41"/>
      <c r="H42" s="38"/>
    </row>
    <row r="43" customFormat="false" ht="15" hidden="false" customHeight="true" outlineLevel="0" collapsed="false">
      <c r="A43" s="38" t="n">
        <v>42</v>
      </c>
      <c r="B43" s="39"/>
      <c r="C43" s="40" t="s">
        <v>107</v>
      </c>
      <c r="D43" s="38" t="s">
        <v>56</v>
      </c>
      <c r="E43" s="38"/>
      <c r="F43" s="40"/>
      <c r="G43" s="41"/>
      <c r="H43" s="38"/>
    </row>
    <row r="44" customFormat="false" ht="15" hidden="false" customHeight="true" outlineLevel="0" collapsed="false">
      <c r="A44" s="38" t="n">
        <v>43</v>
      </c>
      <c r="B44" s="39"/>
      <c r="C44" s="40" t="s">
        <v>108</v>
      </c>
      <c r="D44" s="38" t="s">
        <v>56</v>
      </c>
      <c r="E44" s="38"/>
      <c r="F44" s="40"/>
      <c r="G44" s="41"/>
      <c r="H44" s="38"/>
    </row>
    <row r="45" customFormat="false" ht="15" hidden="false" customHeight="true" outlineLevel="0" collapsed="false">
      <c r="A45" s="38" t="n">
        <v>44</v>
      </c>
      <c r="B45" s="39"/>
      <c r="C45" s="40" t="s">
        <v>109</v>
      </c>
      <c r="D45" s="38" t="s">
        <v>56</v>
      </c>
      <c r="E45" s="38"/>
      <c r="F45" s="40"/>
      <c r="G45" s="41"/>
      <c r="H45" s="38"/>
    </row>
    <row r="46" customFormat="false" ht="15" hidden="false" customHeight="true" outlineLevel="0" collapsed="false">
      <c r="A46" s="38" t="n">
        <v>45</v>
      </c>
      <c r="B46" s="39" t="s">
        <v>110</v>
      </c>
      <c r="C46" s="40" t="s">
        <v>111</v>
      </c>
      <c r="D46" s="38" t="s">
        <v>56</v>
      </c>
      <c r="E46" s="38"/>
      <c r="F46" s="40"/>
      <c r="G46" s="41"/>
      <c r="H46" s="38"/>
    </row>
    <row r="47" customFormat="false" ht="15" hidden="false" customHeight="true" outlineLevel="0" collapsed="false">
      <c r="A47" s="38" t="n">
        <v>46</v>
      </c>
      <c r="B47" s="39"/>
      <c r="C47" s="40" t="s">
        <v>112</v>
      </c>
      <c r="D47" s="38" t="s">
        <v>56</v>
      </c>
      <c r="E47" s="38"/>
      <c r="F47" s="40"/>
      <c r="G47" s="41"/>
      <c r="H47" s="38"/>
    </row>
    <row r="48" customFormat="false" ht="15" hidden="false" customHeight="true" outlineLevel="0" collapsed="false">
      <c r="A48" s="38" t="n">
        <v>47</v>
      </c>
      <c r="B48" s="39"/>
      <c r="C48" s="40" t="s">
        <v>113</v>
      </c>
      <c r="D48" s="38" t="s">
        <v>56</v>
      </c>
      <c r="E48" s="38"/>
      <c r="F48" s="40"/>
      <c r="G48" s="41"/>
      <c r="H48" s="38"/>
    </row>
    <row r="49" customFormat="false" ht="15" hidden="false" customHeight="true" outlineLevel="0" collapsed="false">
      <c r="A49" s="38" t="n">
        <v>48</v>
      </c>
      <c r="B49" s="39"/>
      <c r="C49" s="40" t="s">
        <v>114</v>
      </c>
      <c r="D49" s="38" t="s">
        <v>80</v>
      </c>
      <c r="E49" s="38"/>
      <c r="F49" s="40"/>
      <c r="G49" s="41"/>
      <c r="H49" s="38"/>
    </row>
    <row r="50" customFormat="false" ht="15" hidden="false" customHeight="true" outlineLevel="0" collapsed="false">
      <c r="A50" s="38" t="n">
        <v>49</v>
      </c>
      <c r="B50" s="39" t="s">
        <v>115</v>
      </c>
      <c r="C50" s="40" t="s">
        <v>116</v>
      </c>
      <c r="D50" s="38" t="s">
        <v>56</v>
      </c>
      <c r="E50" s="38"/>
      <c r="F50" s="40"/>
      <c r="G50" s="41"/>
      <c r="H50" s="38"/>
    </row>
    <row r="51" customFormat="false" ht="15" hidden="false" customHeight="true" outlineLevel="0" collapsed="false">
      <c r="A51" s="38" t="n">
        <v>50</v>
      </c>
      <c r="B51" s="39"/>
      <c r="C51" s="40" t="s">
        <v>117</v>
      </c>
      <c r="D51" s="38" t="s">
        <v>56</v>
      </c>
      <c r="E51" s="38"/>
      <c r="F51" s="40"/>
      <c r="G51" s="41"/>
      <c r="H51" s="38"/>
    </row>
    <row r="52" customFormat="false" ht="15" hidden="false" customHeight="true" outlineLevel="0" collapsed="false">
      <c r="A52" s="38" t="n">
        <v>51</v>
      </c>
      <c r="B52" s="39"/>
      <c r="C52" s="40" t="s">
        <v>118</v>
      </c>
      <c r="D52" s="38" t="s">
        <v>56</v>
      </c>
      <c r="E52" s="38"/>
      <c r="F52" s="40"/>
      <c r="G52" s="41"/>
      <c r="H52" s="38"/>
    </row>
    <row r="53" customFormat="false" ht="15" hidden="false" customHeight="true" outlineLevel="0" collapsed="false">
      <c r="A53" s="38" t="n">
        <v>52</v>
      </c>
      <c r="B53" s="39"/>
      <c r="C53" s="40" t="s">
        <v>119</v>
      </c>
      <c r="D53" s="38" t="s">
        <v>56</v>
      </c>
      <c r="E53" s="38"/>
      <c r="F53" s="40"/>
      <c r="G53" s="41"/>
      <c r="H53" s="38"/>
    </row>
    <row r="54" customFormat="false" ht="15" hidden="false" customHeight="true" outlineLevel="0" collapsed="false">
      <c r="A54" s="38" t="n">
        <v>53</v>
      </c>
      <c r="B54" s="39"/>
      <c r="C54" s="40" t="s">
        <v>120</v>
      </c>
      <c r="D54" s="38" t="s">
        <v>56</v>
      </c>
      <c r="E54" s="38"/>
      <c r="F54" s="40"/>
      <c r="G54" s="41"/>
      <c r="H54" s="38"/>
    </row>
    <row r="55" customFormat="false" ht="15" hidden="false" customHeight="true" outlineLevel="0" collapsed="false">
      <c r="A55" s="38" t="n">
        <v>54</v>
      </c>
      <c r="B55" s="39" t="s">
        <v>121</v>
      </c>
      <c r="C55" s="40" t="s">
        <v>122</v>
      </c>
      <c r="D55" s="38" t="s">
        <v>56</v>
      </c>
      <c r="E55" s="38"/>
      <c r="F55" s="40"/>
      <c r="G55" s="41"/>
      <c r="H55" s="38"/>
    </row>
    <row r="56" customFormat="false" ht="15" hidden="false" customHeight="true" outlineLevel="0" collapsed="false">
      <c r="A56" s="38" t="n">
        <v>55</v>
      </c>
      <c r="B56" s="39"/>
      <c r="C56" s="40" t="s">
        <v>123</v>
      </c>
      <c r="D56" s="38" t="s">
        <v>56</v>
      </c>
      <c r="E56" s="38"/>
      <c r="F56" s="40"/>
      <c r="G56" s="41"/>
      <c r="H56" s="38"/>
    </row>
    <row r="57" customFormat="false" ht="15" hidden="false" customHeight="true" outlineLevel="0" collapsed="false">
      <c r="A57" s="38" t="n">
        <v>56</v>
      </c>
      <c r="B57" s="39"/>
      <c r="C57" s="40" t="s">
        <v>124</v>
      </c>
      <c r="D57" s="38" t="s">
        <v>56</v>
      </c>
      <c r="E57" s="38"/>
      <c r="F57" s="40"/>
      <c r="G57" s="41"/>
      <c r="H57" s="38"/>
    </row>
    <row r="58" customFormat="false" ht="15" hidden="false" customHeight="true" outlineLevel="0" collapsed="false">
      <c r="A58" s="38" t="n">
        <v>57</v>
      </c>
      <c r="B58" s="39"/>
      <c r="C58" s="40" t="s">
        <v>125</v>
      </c>
      <c r="D58" s="38" t="s">
        <v>80</v>
      </c>
      <c r="E58" s="38"/>
      <c r="F58" s="40"/>
      <c r="G58" s="41"/>
      <c r="H58" s="38"/>
    </row>
    <row r="59" customFormat="false" ht="15" hidden="false" customHeight="true" outlineLevel="0" collapsed="false">
      <c r="A59" s="38" t="n">
        <v>58</v>
      </c>
      <c r="B59" s="39"/>
      <c r="C59" s="40" t="s">
        <v>126</v>
      </c>
      <c r="D59" s="38" t="s">
        <v>80</v>
      </c>
      <c r="E59" s="38"/>
      <c r="F59" s="40"/>
      <c r="G59" s="41"/>
      <c r="H59" s="38"/>
    </row>
    <row r="60" customFormat="false" ht="15" hidden="false" customHeight="true" outlineLevel="0" collapsed="false">
      <c r="A60" s="38" t="n">
        <v>59</v>
      </c>
      <c r="B60" s="39"/>
      <c r="C60" s="40" t="s">
        <v>127</v>
      </c>
      <c r="D60" s="38" t="s">
        <v>56</v>
      </c>
      <c r="E60" s="38"/>
      <c r="F60" s="40"/>
      <c r="G60" s="41"/>
      <c r="H60" s="38"/>
    </row>
    <row r="61" customFormat="false" ht="15" hidden="false" customHeight="true" outlineLevel="0" collapsed="false">
      <c r="A61" s="38" t="n">
        <v>60</v>
      </c>
      <c r="B61" s="39"/>
      <c r="C61" s="40" t="s">
        <v>128</v>
      </c>
      <c r="D61" s="38" t="s">
        <v>56</v>
      </c>
      <c r="E61" s="38"/>
      <c r="F61" s="40"/>
      <c r="G61" s="41"/>
      <c r="H61" s="38"/>
    </row>
    <row r="62" customFormat="false" ht="15" hidden="false" customHeight="true" outlineLevel="0" collapsed="false">
      <c r="A62" s="38" t="n">
        <v>61</v>
      </c>
      <c r="B62" s="39" t="s">
        <v>129</v>
      </c>
      <c r="C62" s="40" t="s">
        <v>130</v>
      </c>
      <c r="D62" s="38" t="s">
        <v>56</v>
      </c>
      <c r="E62" s="38"/>
      <c r="F62" s="40"/>
      <c r="G62" s="41"/>
      <c r="H62" s="38"/>
    </row>
    <row r="63" customFormat="false" ht="15" hidden="false" customHeight="true" outlineLevel="0" collapsed="false">
      <c r="A63" s="38" t="n">
        <v>62</v>
      </c>
      <c r="B63" s="39"/>
      <c r="C63" s="40" t="s">
        <v>131</v>
      </c>
      <c r="D63" s="38" t="s">
        <v>56</v>
      </c>
      <c r="E63" s="38"/>
      <c r="F63" s="40"/>
      <c r="G63" s="41"/>
      <c r="H63" s="38"/>
    </row>
    <row r="64" customFormat="false" ht="15" hidden="false" customHeight="true" outlineLevel="0" collapsed="false">
      <c r="A64" s="38" t="n">
        <v>63</v>
      </c>
      <c r="B64" s="39"/>
      <c r="C64" s="40" t="s">
        <v>132</v>
      </c>
      <c r="D64" s="38" t="s">
        <v>56</v>
      </c>
      <c r="E64" s="38"/>
      <c r="F64" s="40"/>
      <c r="G64" s="41"/>
      <c r="H64" s="38"/>
    </row>
    <row r="65" customFormat="false" ht="15" hidden="false" customHeight="true" outlineLevel="0" collapsed="false">
      <c r="A65" s="38" t="n">
        <v>64</v>
      </c>
      <c r="B65" s="39"/>
      <c r="C65" s="40" t="s">
        <v>133</v>
      </c>
      <c r="D65" s="38" t="s">
        <v>56</v>
      </c>
      <c r="E65" s="38"/>
      <c r="F65" s="40"/>
      <c r="G65" s="41"/>
      <c r="H65" s="38"/>
    </row>
    <row r="66" customFormat="false" ht="15" hidden="false" customHeight="true" outlineLevel="0" collapsed="false">
      <c r="A66" s="38" t="n">
        <v>65</v>
      </c>
      <c r="B66" s="39"/>
      <c r="C66" s="40" t="s">
        <v>134</v>
      </c>
      <c r="D66" s="38" t="s">
        <v>56</v>
      </c>
      <c r="E66" s="38"/>
      <c r="F66" s="40"/>
      <c r="G66" s="41"/>
      <c r="H66" s="38"/>
    </row>
    <row r="67" customFormat="false" ht="15" hidden="false" customHeight="true" outlineLevel="0" collapsed="false">
      <c r="A67" s="38" t="n">
        <v>66</v>
      </c>
      <c r="B67" s="39"/>
      <c r="C67" s="40" t="s">
        <v>135</v>
      </c>
      <c r="D67" s="38" t="s">
        <v>56</v>
      </c>
      <c r="E67" s="38"/>
      <c r="F67" s="40"/>
      <c r="G67" s="41"/>
      <c r="H67" s="38"/>
    </row>
    <row r="68" customFormat="false" ht="15" hidden="false" customHeight="true" outlineLevel="0" collapsed="false">
      <c r="A68" s="38" t="n">
        <v>67</v>
      </c>
      <c r="B68" s="39"/>
      <c r="C68" s="40" t="s">
        <v>136</v>
      </c>
      <c r="D68" s="38" t="s">
        <v>56</v>
      </c>
      <c r="E68" s="38"/>
      <c r="F68" s="40"/>
      <c r="G68" s="41"/>
      <c r="H68" s="38"/>
    </row>
    <row r="69" customFormat="false" ht="15" hidden="false" customHeight="true" outlineLevel="0" collapsed="false">
      <c r="A69" s="38" t="n">
        <v>68</v>
      </c>
      <c r="B69" s="39"/>
      <c r="C69" s="40" t="s">
        <v>137</v>
      </c>
      <c r="D69" s="38" t="s">
        <v>80</v>
      </c>
      <c r="E69" s="38"/>
      <c r="F69" s="40"/>
      <c r="G69" s="41"/>
      <c r="H69" s="38"/>
    </row>
    <row r="70" customFormat="false" ht="15" hidden="false" customHeight="true" outlineLevel="0" collapsed="false">
      <c r="A70" s="38" t="n">
        <v>69</v>
      </c>
      <c r="B70" s="39"/>
      <c r="C70" s="40" t="s">
        <v>138</v>
      </c>
      <c r="D70" s="38" t="s">
        <v>80</v>
      </c>
      <c r="E70" s="38"/>
      <c r="F70" s="40"/>
      <c r="G70" s="41"/>
      <c r="H70" s="38"/>
    </row>
    <row r="71" customFormat="false" ht="15" hidden="false" customHeight="true" outlineLevel="0" collapsed="false">
      <c r="A71" s="38" t="n">
        <v>70</v>
      </c>
      <c r="B71" s="39" t="s">
        <v>139</v>
      </c>
      <c r="C71" s="40" t="s">
        <v>97</v>
      </c>
      <c r="D71" s="38" t="s">
        <v>60</v>
      </c>
      <c r="E71" s="38"/>
      <c r="F71" s="40"/>
      <c r="G71" s="41"/>
      <c r="H71" s="38"/>
    </row>
    <row r="72" customFormat="false" ht="15" hidden="false" customHeight="true" outlineLevel="0" collapsed="false">
      <c r="A72" s="38" t="n">
        <v>71</v>
      </c>
      <c r="B72" s="39"/>
      <c r="C72" s="40" t="s">
        <v>140</v>
      </c>
      <c r="D72" s="38" t="s">
        <v>56</v>
      </c>
      <c r="E72" s="38"/>
      <c r="F72" s="40"/>
      <c r="G72" s="41"/>
      <c r="H72" s="38"/>
    </row>
    <row r="73" customFormat="false" ht="15" hidden="false" customHeight="true" outlineLevel="0" collapsed="false">
      <c r="A73" s="38" t="n">
        <v>72</v>
      </c>
      <c r="B73" s="39"/>
      <c r="C73" s="40" t="s">
        <v>141</v>
      </c>
      <c r="D73" s="38" t="s">
        <v>56</v>
      </c>
      <c r="E73" s="38"/>
      <c r="F73" s="40"/>
      <c r="G73" s="41"/>
      <c r="H73" s="38"/>
    </row>
    <row r="74" customFormat="false" ht="15" hidden="false" customHeight="true" outlineLevel="0" collapsed="false">
      <c r="A74" s="38" t="n">
        <v>73</v>
      </c>
      <c r="B74" s="39"/>
      <c r="C74" s="40" t="s">
        <v>142</v>
      </c>
      <c r="D74" s="38" t="s">
        <v>56</v>
      </c>
      <c r="E74" s="38"/>
      <c r="F74" s="40"/>
      <c r="G74" s="41"/>
      <c r="H74" s="38"/>
    </row>
    <row r="75" customFormat="false" ht="15" hidden="false" customHeight="true" outlineLevel="0" collapsed="false">
      <c r="A75" s="38" t="n">
        <v>74</v>
      </c>
      <c r="B75" s="39"/>
      <c r="C75" s="40" t="s">
        <v>143</v>
      </c>
      <c r="D75" s="38" t="s">
        <v>56</v>
      </c>
      <c r="E75" s="38"/>
      <c r="F75" s="40"/>
      <c r="G75" s="41"/>
      <c r="H75" s="38"/>
    </row>
    <row r="76" customFormat="false" ht="15" hidden="false" customHeight="true" outlineLevel="0" collapsed="false">
      <c r="A76" s="38" t="n">
        <v>75</v>
      </c>
      <c r="B76" s="39" t="s">
        <v>144</v>
      </c>
      <c r="C76" s="40" t="s">
        <v>145</v>
      </c>
      <c r="D76" s="38" t="s">
        <v>56</v>
      </c>
      <c r="E76" s="38"/>
      <c r="F76" s="40"/>
      <c r="G76" s="41"/>
      <c r="H76" s="38"/>
    </row>
    <row r="77" customFormat="false" ht="15" hidden="false" customHeight="true" outlineLevel="0" collapsed="false">
      <c r="A77" s="38" t="n">
        <v>76</v>
      </c>
      <c r="B77" s="39"/>
      <c r="C77" s="40" t="s">
        <v>146</v>
      </c>
      <c r="D77" s="38" t="s">
        <v>56</v>
      </c>
      <c r="E77" s="38"/>
      <c r="F77" s="40"/>
      <c r="G77" s="41"/>
      <c r="H77" s="38"/>
    </row>
    <row r="78" customFormat="false" ht="15" hidden="false" customHeight="true" outlineLevel="0" collapsed="false">
      <c r="A78" s="38" t="n">
        <v>77</v>
      </c>
      <c r="B78" s="39"/>
      <c r="C78" s="40" t="s">
        <v>147</v>
      </c>
      <c r="D78" s="38" t="s">
        <v>56</v>
      </c>
      <c r="E78" s="38"/>
      <c r="F78" s="40"/>
      <c r="G78" s="41"/>
      <c r="H78" s="38"/>
    </row>
    <row r="79" customFormat="false" ht="15" hidden="false" customHeight="true" outlineLevel="0" collapsed="false">
      <c r="A79" s="38" t="n">
        <v>78</v>
      </c>
      <c r="B79" s="39"/>
      <c r="C79" s="40" t="s">
        <v>148</v>
      </c>
      <c r="D79" s="38" t="s">
        <v>56</v>
      </c>
      <c r="E79" s="38"/>
      <c r="F79" s="40"/>
      <c r="G79" s="41"/>
      <c r="H79" s="38"/>
    </row>
    <row r="80" customFormat="false" ht="15" hidden="false" customHeight="true" outlineLevel="0" collapsed="false">
      <c r="A80" s="38" t="n">
        <v>79</v>
      </c>
      <c r="B80" s="39" t="s">
        <v>149</v>
      </c>
      <c r="C80" s="40" t="s">
        <v>150</v>
      </c>
      <c r="D80" s="38" t="s">
        <v>56</v>
      </c>
      <c r="E80" s="38"/>
      <c r="F80" s="40"/>
      <c r="G80" s="41"/>
      <c r="H80" s="38"/>
    </row>
    <row r="81" customFormat="false" ht="15" hidden="false" customHeight="true" outlineLevel="0" collapsed="false">
      <c r="A81" s="38" t="n">
        <v>80</v>
      </c>
      <c r="B81" s="39"/>
      <c r="C81" s="40" t="s">
        <v>151</v>
      </c>
      <c r="D81" s="38" t="s">
        <v>56</v>
      </c>
      <c r="E81" s="38"/>
      <c r="F81" s="40"/>
      <c r="G81" s="41"/>
      <c r="H81" s="38"/>
    </row>
    <row r="82" customFormat="false" ht="15" hidden="false" customHeight="true" outlineLevel="0" collapsed="false">
      <c r="A82" s="38" t="n">
        <v>81</v>
      </c>
      <c r="B82" s="39"/>
      <c r="C82" s="40" t="s">
        <v>152</v>
      </c>
      <c r="D82" s="38" t="s">
        <v>80</v>
      </c>
      <c r="E82" s="38"/>
      <c r="F82" s="40"/>
      <c r="G82" s="41"/>
      <c r="H82" s="38"/>
    </row>
    <row r="83" customFormat="false" ht="15" hidden="false" customHeight="true" outlineLevel="0" collapsed="false">
      <c r="A83" s="38" t="n">
        <v>82</v>
      </c>
      <c r="B83" s="39"/>
      <c r="C83" s="40" t="s">
        <v>153</v>
      </c>
      <c r="D83" s="38" t="s">
        <v>80</v>
      </c>
      <c r="E83" s="38"/>
      <c r="F83" s="40"/>
      <c r="G83" s="41"/>
      <c r="H83" s="38"/>
    </row>
    <row r="84" customFormat="false" ht="15" hidden="false" customHeight="true" outlineLevel="0" collapsed="false">
      <c r="A84" s="38" t="n">
        <v>83</v>
      </c>
      <c r="B84" s="39" t="s">
        <v>154</v>
      </c>
      <c r="C84" s="40" t="s">
        <v>155</v>
      </c>
      <c r="D84" s="38" t="s">
        <v>80</v>
      </c>
      <c r="E84" s="38"/>
      <c r="F84" s="40"/>
      <c r="G84" s="41"/>
      <c r="H84" s="38"/>
    </row>
    <row r="85" customFormat="false" ht="15" hidden="false" customHeight="true" outlineLevel="0" collapsed="false">
      <c r="A85" s="38" t="n">
        <v>84</v>
      </c>
      <c r="B85" s="39"/>
      <c r="C85" s="40" t="s">
        <v>156</v>
      </c>
      <c r="D85" s="38" t="s">
        <v>80</v>
      </c>
      <c r="E85" s="38"/>
      <c r="F85" s="40"/>
      <c r="G85" s="41"/>
      <c r="H85" s="38"/>
    </row>
    <row r="86" customFormat="false" ht="15" hidden="false" customHeight="true" outlineLevel="0" collapsed="false">
      <c r="A86" s="38" t="n">
        <v>85</v>
      </c>
      <c r="B86" s="39"/>
      <c r="C86" s="40" t="s">
        <v>157</v>
      </c>
      <c r="D86" s="38" t="s">
        <v>80</v>
      </c>
      <c r="E86" s="38"/>
      <c r="F86" s="40"/>
      <c r="G86" s="41"/>
      <c r="H86" s="38"/>
    </row>
    <row r="87" customFormat="false" ht="15" hidden="false" customHeight="true" outlineLevel="0" collapsed="false">
      <c r="A87" s="38" t="n">
        <v>86</v>
      </c>
      <c r="B87" s="39" t="s">
        <v>158</v>
      </c>
      <c r="C87" s="40" t="s">
        <v>159</v>
      </c>
      <c r="D87" s="38" t="s">
        <v>56</v>
      </c>
      <c r="E87" s="38"/>
      <c r="F87" s="40"/>
      <c r="G87" s="41"/>
      <c r="H87" s="38"/>
    </row>
    <row r="88" customFormat="false" ht="15" hidden="false" customHeight="true" outlineLevel="0" collapsed="false">
      <c r="A88" s="38" t="n">
        <v>87</v>
      </c>
      <c r="B88" s="39"/>
      <c r="C88" s="40" t="s">
        <v>160</v>
      </c>
      <c r="D88" s="38" t="s">
        <v>56</v>
      </c>
      <c r="E88" s="38"/>
      <c r="F88" s="40"/>
      <c r="G88" s="41"/>
      <c r="H88" s="38"/>
    </row>
    <row r="89" customFormat="false" ht="15" hidden="false" customHeight="true" outlineLevel="0" collapsed="false">
      <c r="A89" s="38" t="n">
        <v>88</v>
      </c>
      <c r="B89" s="39"/>
      <c r="C89" s="40" t="s">
        <v>161</v>
      </c>
      <c r="D89" s="38" t="s">
        <v>56</v>
      </c>
      <c r="E89" s="38"/>
      <c r="F89" s="40"/>
      <c r="G89" s="41"/>
      <c r="H89" s="38"/>
    </row>
    <row r="90" customFormat="false" ht="15" hidden="false" customHeight="true" outlineLevel="0" collapsed="false">
      <c r="A90" s="38" t="n">
        <v>89</v>
      </c>
      <c r="B90" s="39"/>
      <c r="C90" s="40" t="s">
        <v>162</v>
      </c>
      <c r="D90" s="38" t="s">
        <v>56</v>
      </c>
      <c r="E90" s="38"/>
      <c r="F90" s="40"/>
      <c r="G90" s="41"/>
      <c r="H90" s="38"/>
    </row>
    <row r="91" customFormat="false" ht="15" hidden="false" customHeight="true" outlineLevel="0" collapsed="false">
      <c r="A91" s="38" t="n">
        <v>90</v>
      </c>
      <c r="B91" s="39"/>
      <c r="C91" s="40" t="s">
        <v>163</v>
      </c>
      <c r="D91" s="38" t="s">
        <v>56</v>
      </c>
      <c r="E91" s="38"/>
      <c r="F91" s="40"/>
      <c r="G91" s="41"/>
      <c r="H91" s="38"/>
    </row>
    <row r="92" customFormat="false" ht="15" hidden="false" customHeight="true" outlineLevel="0" collapsed="false">
      <c r="A92" s="38" t="n">
        <v>91</v>
      </c>
      <c r="B92" s="39"/>
      <c r="C92" s="40" t="s">
        <v>164</v>
      </c>
      <c r="D92" s="38" t="s">
        <v>80</v>
      </c>
      <c r="E92" s="38"/>
      <c r="F92" s="40"/>
      <c r="G92" s="41"/>
      <c r="H92" s="38"/>
    </row>
    <row r="93" customFormat="false" ht="15" hidden="false" customHeight="true" outlineLevel="0" collapsed="false">
      <c r="A93" s="38" t="n">
        <v>92</v>
      </c>
      <c r="B93" s="39" t="s">
        <v>165</v>
      </c>
      <c r="C93" s="40" t="s">
        <v>166</v>
      </c>
      <c r="D93" s="38" t="s">
        <v>56</v>
      </c>
      <c r="E93" s="38"/>
      <c r="F93" s="40"/>
      <c r="G93" s="41"/>
      <c r="H93" s="38"/>
    </row>
    <row r="94" customFormat="false" ht="15" hidden="false" customHeight="true" outlineLevel="0" collapsed="false">
      <c r="A94" s="38" t="n">
        <v>93</v>
      </c>
      <c r="B94" s="39"/>
      <c r="C94" s="40" t="s">
        <v>167</v>
      </c>
      <c r="D94" s="38" t="s">
        <v>56</v>
      </c>
      <c r="E94" s="38"/>
      <c r="F94" s="40"/>
      <c r="G94" s="41"/>
      <c r="H94" s="38"/>
    </row>
    <row r="95" customFormat="false" ht="15" hidden="false" customHeight="true" outlineLevel="0" collapsed="false">
      <c r="A95" s="38" t="n">
        <v>94</v>
      </c>
      <c r="B95" s="39"/>
      <c r="C95" s="40" t="s">
        <v>168</v>
      </c>
      <c r="D95" s="38" t="s">
        <v>56</v>
      </c>
      <c r="E95" s="38"/>
      <c r="F95" s="40"/>
      <c r="G95" s="41"/>
      <c r="H95" s="38"/>
    </row>
    <row r="96" customFormat="false" ht="15" hidden="false" customHeight="true" outlineLevel="0" collapsed="false">
      <c r="A96" s="38" t="n">
        <v>95</v>
      </c>
      <c r="B96" s="39"/>
      <c r="C96" s="40" t="s">
        <v>169</v>
      </c>
      <c r="D96" s="38" t="s">
        <v>56</v>
      </c>
      <c r="E96" s="38"/>
      <c r="F96" s="40"/>
      <c r="G96" s="41"/>
      <c r="H96" s="38"/>
    </row>
    <row r="97" customFormat="false" ht="15" hidden="false" customHeight="true" outlineLevel="0" collapsed="false">
      <c r="A97" s="38" t="n">
        <v>96</v>
      </c>
      <c r="B97" s="39"/>
      <c r="C97" s="40" t="s">
        <v>170</v>
      </c>
      <c r="D97" s="38" t="s">
        <v>56</v>
      </c>
      <c r="E97" s="38"/>
      <c r="F97" s="40"/>
      <c r="G97" s="41"/>
      <c r="H97" s="38"/>
    </row>
    <row r="98" customFormat="false" ht="15" hidden="false" customHeight="true" outlineLevel="0" collapsed="false">
      <c r="A98" s="38" t="n">
        <v>97</v>
      </c>
      <c r="B98" s="39"/>
      <c r="C98" s="40" t="s">
        <v>171</v>
      </c>
      <c r="D98" s="38" t="s">
        <v>56</v>
      </c>
      <c r="E98" s="38"/>
      <c r="F98" s="40"/>
      <c r="G98" s="41"/>
      <c r="H98" s="38"/>
    </row>
    <row r="99" customFormat="false" ht="15" hidden="false" customHeight="true" outlineLevel="0" collapsed="false">
      <c r="A99" s="38" t="n">
        <v>98</v>
      </c>
      <c r="B99" s="39"/>
      <c r="C99" s="40" t="s">
        <v>172</v>
      </c>
      <c r="D99" s="38" t="s">
        <v>56</v>
      </c>
      <c r="E99" s="38"/>
      <c r="F99" s="40"/>
      <c r="G99" s="41"/>
      <c r="H99" s="38"/>
    </row>
    <row r="100" customFormat="false" ht="15" hidden="false" customHeight="true" outlineLevel="0" collapsed="false">
      <c r="A100" s="38" t="n">
        <v>99</v>
      </c>
      <c r="B100" s="39"/>
      <c r="C100" s="40" t="s">
        <v>173</v>
      </c>
      <c r="D100" s="38" t="s">
        <v>56</v>
      </c>
      <c r="E100" s="38"/>
      <c r="F100" s="40"/>
      <c r="G100" s="41"/>
      <c r="H100" s="38"/>
    </row>
    <row r="101" customFormat="false" ht="15" hidden="false" customHeight="true" outlineLevel="0" collapsed="false">
      <c r="A101" s="38" t="n">
        <v>100</v>
      </c>
      <c r="B101" s="39" t="s">
        <v>174</v>
      </c>
      <c r="C101" s="40" t="s">
        <v>175</v>
      </c>
      <c r="D101" s="38" t="s">
        <v>56</v>
      </c>
      <c r="E101" s="38"/>
      <c r="F101" s="40"/>
      <c r="G101" s="41"/>
      <c r="H101" s="38"/>
    </row>
    <row r="102" customFormat="false" ht="15" hidden="false" customHeight="true" outlineLevel="0" collapsed="false">
      <c r="A102" s="38" t="n">
        <v>101</v>
      </c>
      <c r="B102" s="39"/>
      <c r="C102" s="40" t="s">
        <v>176</v>
      </c>
      <c r="D102" s="38" t="s">
        <v>56</v>
      </c>
      <c r="E102" s="38"/>
      <c r="F102" s="40"/>
      <c r="G102" s="41"/>
      <c r="H102" s="38"/>
    </row>
    <row r="103" customFormat="false" ht="15" hidden="false" customHeight="true" outlineLevel="0" collapsed="false">
      <c r="A103" s="38" t="n">
        <v>102</v>
      </c>
      <c r="B103" s="39"/>
      <c r="C103" s="40" t="s">
        <v>177</v>
      </c>
      <c r="D103" s="38" t="s">
        <v>56</v>
      </c>
      <c r="E103" s="38"/>
      <c r="F103" s="40"/>
      <c r="G103" s="41"/>
      <c r="H103" s="38"/>
    </row>
    <row r="104" customFormat="false" ht="15" hidden="false" customHeight="true" outlineLevel="0" collapsed="false">
      <c r="A104" s="38" t="n">
        <v>103</v>
      </c>
      <c r="B104" s="39"/>
      <c r="C104" s="40" t="s">
        <v>178</v>
      </c>
      <c r="D104" s="38" t="s">
        <v>56</v>
      </c>
      <c r="E104" s="38"/>
      <c r="F104" s="40"/>
      <c r="G104" s="41"/>
      <c r="H104" s="38"/>
    </row>
    <row r="105" customFormat="false" ht="15" hidden="false" customHeight="true" outlineLevel="0" collapsed="false">
      <c r="A105" s="38" t="n">
        <v>104</v>
      </c>
      <c r="B105" s="39" t="s">
        <v>179</v>
      </c>
      <c r="C105" s="40" t="s">
        <v>180</v>
      </c>
      <c r="D105" s="38" t="s">
        <v>60</v>
      </c>
      <c r="E105" s="38"/>
      <c r="F105" s="40"/>
      <c r="G105" s="41"/>
      <c r="H105" s="38"/>
    </row>
    <row r="106" customFormat="false" ht="15" hidden="false" customHeight="true" outlineLevel="0" collapsed="false">
      <c r="A106" s="38" t="n">
        <v>105</v>
      </c>
      <c r="B106" s="39"/>
      <c r="C106" s="40" t="s">
        <v>181</v>
      </c>
      <c r="D106" s="38" t="s">
        <v>60</v>
      </c>
      <c r="E106" s="38"/>
      <c r="F106" s="40"/>
      <c r="G106" s="41"/>
      <c r="H106" s="38"/>
    </row>
    <row r="107" customFormat="false" ht="15" hidden="false" customHeight="true" outlineLevel="0" collapsed="false">
      <c r="A107" s="38" t="n">
        <v>106</v>
      </c>
      <c r="B107" s="39"/>
      <c r="C107" s="40" t="s">
        <v>182</v>
      </c>
      <c r="D107" s="38" t="s">
        <v>60</v>
      </c>
      <c r="E107" s="38"/>
      <c r="F107" s="40"/>
      <c r="G107" s="41"/>
      <c r="H107" s="38"/>
    </row>
    <row r="108" customFormat="false" ht="15" hidden="false" customHeight="true" outlineLevel="0" collapsed="false">
      <c r="A108" s="38" t="n">
        <v>107</v>
      </c>
      <c r="B108" s="39"/>
      <c r="C108" s="40" t="s">
        <v>183</v>
      </c>
      <c r="D108" s="38" t="s">
        <v>60</v>
      </c>
      <c r="E108" s="38"/>
      <c r="F108" s="40"/>
      <c r="G108" s="41"/>
      <c r="H108" s="38"/>
    </row>
    <row r="109" customFormat="false" ht="15" hidden="false" customHeight="true" outlineLevel="0" collapsed="false">
      <c r="A109" s="38" t="n">
        <v>108</v>
      </c>
      <c r="B109" s="39" t="s">
        <v>184</v>
      </c>
      <c r="C109" s="40" t="s">
        <v>185</v>
      </c>
      <c r="D109" s="38" t="s">
        <v>60</v>
      </c>
      <c r="E109" s="38"/>
      <c r="F109" s="40"/>
      <c r="G109" s="41"/>
      <c r="H109" s="38"/>
    </row>
    <row r="110" customFormat="false" ht="15" hidden="false" customHeight="true" outlineLevel="0" collapsed="false">
      <c r="A110" s="38" t="n">
        <v>109</v>
      </c>
      <c r="B110" s="39"/>
      <c r="C110" s="40" t="s">
        <v>186</v>
      </c>
      <c r="D110" s="38" t="s">
        <v>56</v>
      </c>
      <c r="E110" s="38"/>
      <c r="F110" s="40"/>
      <c r="G110" s="41"/>
      <c r="H110" s="38"/>
    </row>
    <row r="111" customFormat="false" ht="15" hidden="false" customHeight="true" outlineLevel="0" collapsed="false">
      <c r="A111" s="38" t="n">
        <v>110</v>
      </c>
      <c r="B111" s="39"/>
      <c r="C111" s="40" t="s">
        <v>187</v>
      </c>
      <c r="D111" s="38" t="s">
        <v>56</v>
      </c>
      <c r="E111" s="38"/>
      <c r="F111" s="40"/>
      <c r="G111" s="41"/>
      <c r="H111" s="38"/>
    </row>
    <row r="112" customFormat="false" ht="15" hidden="false" customHeight="true" outlineLevel="0" collapsed="false">
      <c r="A112" s="38" t="n">
        <v>111</v>
      </c>
      <c r="B112" s="39"/>
      <c r="C112" s="40" t="s">
        <v>188</v>
      </c>
      <c r="D112" s="38" t="s">
        <v>56</v>
      </c>
      <c r="E112" s="38"/>
      <c r="F112" s="40"/>
      <c r="G112" s="41"/>
      <c r="H112" s="38"/>
    </row>
    <row r="113" customFormat="false" ht="15" hidden="false" customHeight="true" outlineLevel="0" collapsed="false">
      <c r="A113" s="38" t="n">
        <v>112</v>
      </c>
      <c r="B113" s="39"/>
      <c r="C113" s="40" t="s">
        <v>189</v>
      </c>
      <c r="D113" s="38" t="s">
        <v>56</v>
      </c>
      <c r="E113" s="38"/>
      <c r="F113" s="40"/>
      <c r="G113" s="41"/>
      <c r="H113" s="38"/>
    </row>
    <row r="114" customFormat="false" ht="15" hidden="false" customHeight="true" outlineLevel="0" collapsed="false">
      <c r="A114" s="38" t="n">
        <v>113</v>
      </c>
      <c r="B114" s="39"/>
      <c r="C114" s="40" t="s">
        <v>190</v>
      </c>
      <c r="D114" s="38" t="s">
        <v>56</v>
      </c>
      <c r="E114" s="38"/>
      <c r="F114" s="40"/>
      <c r="G114" s="41"/>
      <c r="H114" s="38"/>
    </row>
    <row r="115" customFormat="false" ht="15" hidden="false" customHeight="true" outlineLevel="0" collapsed="false">
      <c r="A115" s="38" t="n">
        <v>114</v>
      </c>
      <c r="B115" s="39"/>
      <c r="C115" s="40" t="s">
        <v>191</v>
      </c>
      <c r="D115" s="38" t="s">
        <v>80</v>
      </c>
      <c r="E115" s="38"/>
      <c r="F115" s="40"/>
      <c r="G115" s="41"/>
      <c r="H115" s="38"/>
    </row>
    <row r="116" customFormat="false" ht="15" hidden="false" customHeight="true" outlineLevel="0" collapsed="false">
      <c r="A116" s="38" t="n">
        <v>115</v>
      </c>
      <c r="B116" s="39" t="s">
        <v>192</v>
      </c>
      <c r="C116" s="40" t="s">
        <v>193</v>
      </c>
      <c r="D116" s="38" t="s">
        <v>56</v>
      </c>
      <c r="E116" s="38"/>
      <c r="F116" s="40"/>
      <c r="G116" s="41"/>
      <c r="H116" s="38"/>
    </row>
    <row r="117" customFormat="false" ht="15" hidden="false" customHeight="true" outlineLevel="0" collapsed="false">
      <c r="A117" s="38" t="n">
        <v>116</v>
      </c>
      <c r="B117" s="39"/>
      <c r="C117" s="40" t="s">
        <v>194</v>
      </c>
      <c r="D117" s="38" t="s">
        <v>56</v>
      </c>
      <c r="E117" s="38"/>
      <c r="F117" s="40"/>
      <c r="G117" s="41"/>
      <c r="H117" s="38"/>
    </row>
    <row r="118" customFormat="false" ht="15" hidden="false" customHeight="true" outlineLevel="0" collapsed="false">
      <c r="A118" s="38" t="n">
        <v>117</v>
      </c>
      <c r="B118" s="39"/>
      <c r="C118" s="40" t="s">
        <v>195</v>
      </c>
      <c r="D118" s="38" t="s">
        <v>56</v>
      </c>
      <c r="E118" s="38"/>
      <c r="F118" s="40"/>
      <c r="G118" s="41"/>
      <c r="H118" s="38"/>
    </row>
    <row r="119" customFormat="false" ht="15" hidden="false" customHeight="true" outlineLevel="0" collapsed="false">
      <c r="A119" s="38" t="n">
        <v>118</v>
      </c>
      <c r="B119" s="39"/>
      <c r="C119" s="40" t="s">
        <v>196</v>
      </c>
      <c r="D119" s="38" t="s">
        <v>80</v>
      </c>
      <c r="E119" s="38"/>
      <c r="F119" s="40"/>
      <c r="G119" s="41"/>
      <c r="H119" s="38"/>
    </row>
    <row r="120" customFormat="false" ht="15" hidden="false" customHeight="true" outlineLevel="0" collapsed="false">
      <c r="A120" s="38" t="n">
        <v>119</v>
      </c>
      <c r="B120" s="39" t="s">
        <v>197</v>
      </c>
      <c r="C120" s="40" t="s">
        <v>198</v>
      </c>
      <c r="D120" s="38" t="s">
        <v>56</v>
      </c>
      <c r="E120" s="38"/>
      <c r="F120" s="40"/>
      <c r="G120" s="41"/>
      <c r="H120" s="38"/>
    </row>
    <row r="121" customFormat="false" ht="15" hidden="false" customHeight="true" outlineLevel="0" collapsed="false">
      <c r="A121" s="38" t="n">
        <v>120</v>
      </c>
      <c r="B121" s="39"/>
      <c r="C121" s="40" t="s">
        <v>199</v>
      </c>
      <c r="D121" s="38" t="s">
        <v>60</v>
      </c>
      <c r="E121" s="38"/>
      <c r="F121" s="40"/>
      <c r="G121" s="41"/>
      <c r="H121" s="38"/>
    </row>
    <row r="122" customFormat="false" ht="15" hidden="false" customHeight="true" outlineLevel="0" collapsed="false">
      <c r="A122" s="38" t="n">
        <v>121</v>
      </c>
      <c r="B122" s="39"/>
      <c r="C122" s="40" t="s">
        <v>200</v>
      </c>
      <c r="D122" s="38" t="s">
        <v>60</v>
      </c>
      <c r="E122" s="38"/>
      <c r="F122" s="40"/>
      <c r="G122" s="41"/>
      <c r="H122" s="38"/>
    </row>
    <row r="123" customFormat="false" ht="15" hidden="false" customHeight="true" outlineLevel="0" collapsed="false">
      <c r="A123" s="38" t="n">
        <v>122</v>
      </c>
      <c r="B123" s="39"/>
      <c r="C123" s="40" t="s">
        <v>201</v>
      </c>
      <c r="D123" s="38" t="s">
        <v>56</v>
      </c>
      <c r="E123" s="38"/>
      <c r="F123" s="40"/>
      <c r="G123" s="41"/>
      <c r="H123" s="38"/>
    </row>
    <row r="124" customFormat="false" ht="15" hidden="false" customHeight="true" outlineLevel="0" collapsed="false">
      <c r="A124" s="38" t="n">
        <v>123</v>
      </c>
      <c r="B124" s="39"/>
      <c r="C124" s="40" t="s">
        <v>202</v>
      </c>
      <c r="D124" s="38" t="s">
        <v>56</v>
      </c>
      <c r="E124" s="38"/>
      <c r="F124" s="40"/>
      <c r="G124" s="41"/>
      <c r="H124" s="38"/>
    </row>
    <row r="125" customFormat="false" ht="15" hidden="false" customHeight="true" outlineLevel="0" collapsed="false">
      <c r="A125" s="38" t="n">
        <v>124</v>
      </c>
      <c r="B125" s="39" t="s">
        <v>203</v>
      </c>
      <c r="C125" s="40" t="s">
        <v>204</v>
      </c>
      <c r="D125" s="38" t="s">
        <v>56</v>
      </c>
      <c r="E125" s="38"/>
      <c r="F125" s="40"/>
      <c r="G125" s="41"/>
      <c r="H125" s="38"/>
    </row>
    <row r="126" customFormat="false" ht="15" hidden="false" customHeight="true" outlineLevel="0" collapsed="false">
      <c r="A126" s="38" t="n">
        <v>125</v>
      </c>
      <c r="B126" s="39"/>
      <c r="C126" s="40" t="s">
        <v>205</v>
      </c>
      <c r="D126" s="38" t="s">
        <v>56</v>
      </c>
      <c r="E126" s="38"/>
      <c r="F126" s="40"/>
      <c r="G126" s="41"/>
      <c r="H126" s="38"/>
    </row>
    <row r="127" customFormat="false" ht="15" hidden="false" customHeight="true" outlineLevel="0" collapsed="false">
      <c r="A127" s="38" t="n">
        <v>126</v>
      </c>
      <c r="B127" s="39"/>
      <c r="C127" s="40" t="s">
        <v>206</v>
      </c>
      <c r="D127" s="38" t="s">
        <v>56</v>
      </c>
      <c r="E127" s="38"/>
      <c r="F127" s="40"/>
      <c r="G127" s="41"/>
      <c r="H127" s="38"/>
    </row>
    <row r="128" customFormat="false" ht="15" hidden="false" customHeight="true" outlineLevel="0" collapsed="false">
      <c r="A128" s="38" t="n">
        <v>127</v>
      </c>
      <c r="B128" s="39"/>
      <c r="C128" s="40" t="s">
        <v>207</v>
      </c>
      <c r="D128" s="38" t="s">
        <v>56</v>
      </c>
      <c r="E128" s="38"/>
      <c r="F128" s="40"/>
      <c r="G128" s="41"/>
      <c r="H128" s="38"/>
    </row>
    <row r="129" customFormat="false" ht="15" hidden="false" customHeight="true" outlineLevel="0" collapsed="false">
      <c r="A129" s="38" t="n">
        <v>128</v>
      </c>
      <c r="B129" s="39"/>
      <c r="C129" s="40" t="s">
        <v>208</v>
      </c>
      <c r="D129" s="38" t="s">
        <v>56</v>
      </c>
      <c r="E129" s="38"/>
      <c r="F129" s="40"/>
      <c r="G129" s="41"/>
      <c r="H129" s="38"/>
    </row>
    <row r="130" customFormat="false" ht="15" hidden="false" customHeight="true" outlineLevel="0" collapsed="false">
      <c r="A130" s="38" t="n">
        <v>129</v>
      </c>
      <c r="B130" s="39" t="s">
        <v>209</v>
      </c>
      <c r="C130" s="40" t="s">
        <v>210</v>
      </c>
      <c r="D130" s="38" t="s">
        <v>56</v>
      </c>
      <c r="E130" s="38"/>
      <c r="F130" s="40"/>
      <c r="G130" s="41"/>
      <c r="H130" s="38"/>
    </row>
    <row r="131" customFormat="false" ht="15" hidden="false" customHeight="true" outlineLevel="0" collapsed="false">
      <c r="A131" s="38" t="n">
        <v>130</v>
      </c>
      <c r="B131" s="39"/>
      <c r="C131" s="40" t="s">
        <v>211</v>
      </c>
      <c r="D131" s="38" t="s">
        <v>56</v>
      </c>
      <c r="E131" s="38"/>
      <c r="F131" s="40"/>
      <c r="G131" s="41"/>
      <c r="H131" s="38"/>
    </row>
    <row r="132" customFormat="false" ht="15" hidden="false" customHeight="true" outlineLevel="0" collapsed="false">
      <c r="A132" s="38" t="n">
        <v>131</v>
      </c>
      <c r="B132" s="39"/>
      <c r="C132" s="40" t="s">
        <v>212</v>
      </c>
      <c r="D132" s="38" t="s">
        <v>56</v>
      </c>
      <c r="E132" s="38"/>
      <c r="F132" s="40"/>
      <c r="G132" s="41"/>
      <c r="H132" s="38"/>
    </row>
    <row r="133" customFormat="false" ht="15" hidden="false" customHeight="true" outlineLevel="0" collapsed="false">
      <c r="A133" s="38" t="n">
        <v>132</v>
      </c>
      <c r="B133" s="39"/>
      <c r="C133" s="40" t="s">
        <v>213</v>
      </c>
      <c r="D133" s="38" t="s">
        <v>56</v>
      </c>
      <c r="E133" s="38"/>
      <c r="F133" s="40"/>
      <c r="G133" s="41"/>
      <c r="H133" s="38"/>
    </row>
    <row r="134" customFormat="false" ht="15" hidden="false" customHeight="true" outlineLevel="0" collapsed="false">
      <c r="A134" s="38" t="n">
        <v>133</v>
      </c>
      <c r="B134" s="39" t="s">
        <v>214</v>
      </c>
      <c r="C134" s="40" t="s">
        <v>215</v>
      </c>
      <c r="D134" s="38" t="s">
        <v>56</v>
      </c>
      <c r="E134" s="38"/>
      <c r="F134" s="40"/>
      <c r="G134" s="41"/>
      <c r="H134" s="38"/>
    </row>
    <row r="135" customFormat="false" ht="15" hidden="false" customHeight="true" outlineLevel="0" collapsed="false">
      <c r="A135" s="38" t="n">
        <v>134</v>
      </c>
      <c r="B135" s="39"/>
      <c r="C135" s="40" t="s">
        <v>216</v>
      </c>
      <c r="D135" s="38" t="s">
        <v>56</v>
      </c>
      <c r="E135" s="38"/>
      <c r="F135" s="40"/>
      <c r="G135" s="41"/>
      <c r="H135" s="38"/>
    </row>
    <row r="136" customFormat="false" ht="15" hidden="false" customHeight="true" outlineLevel="0" collapsed="false">
      <c r="A136" s="38" t="n">
        <v>135</v>
      </c>
      <c r="B136" s="39"/>
      <c r="C136" s="40" t="s">
        <v>217</v>
      </c>
      <c r="D136" s="38" t="s">
        <v>56</v>
      </c>
      <c r="E136" s="38"/>
      <c r="F136" s="40"/>
      <c r="G136" s="41"/>
      <c r="H136" s="38"/>
    </row>
    <row r="137" customFormat="false" ht="15" hidden="false" customHeight="true" outlineLevel="0" collapsed="false">
      <c r="A137" s="38" t="n">
        <v>136</v>
      </c>
      <c r="B137" s="39"/>
      <c r="C137" s="40" t="s">
        <v>218</v>
      </c>
      <c r="D137" s="38" t="s">
        <v>56</v>
      </c>
      <c r="E137" s="38"/>
      <c r="F137" s="40"/>
      <c r="G137" s="41"/>
      <c r="H137" s="38"/>
    </row>
    <row r="138" customFormat="false" ht="15" hidden="false" customHeight="true" outlineLevel="0" collapsed="false">
      <c r="A138" s="38" t="n">
        <v>137</v>
      </c>
      <c r="B138" s="39"/>
      <c r="C138" s="40" t="s">
        <v>219</v>
      </c>
      <c r="D138" s="38" t="s">
        <v>56</v>
      </c>
      <c r="E138" s="38"/>
      <c r="F138" s="40"/>
      <c r="G138" s="41"/>
      <c r="H138" s="38"/>
    </row>
    <row r="139" customFormat="false" ht="15" hidden="false" customHeight="true" outlineLevel="0" collapsed="false">
      <c r="A139" s="38" t="n">
        <v>138</v>
      </c>
      <c r="B139" s="39" t="s">
        <v>220</v>
      </c>
      <c r="C139" s="40" t="s">
        <v>221</v>
      </c>
      <c r="D139" s="38" t="s">
        <v>56</v>
      </c>
      <c r="E139" s="38"/>
      <c r="F139" s="40"/>
      <c r="G139" s="41"/>
      <c r="H139" s="38"/>
    </row>
    <row r="140" customFormat="false" ht="15" hidden="false" customHeight="true" outlineLevel="0" collapsed="false">
      <c r="A140" s="38" t="n">
        <v>139</v>
      </c>
      <c r="B140" s="39"/>
      <c r="C140" s="40" t="s">
        <v>222</v>
      </c>
      <c r="D140" s="38" t="s">
        <v>56</v>
      </c>
      <c r="E140" s="38"/>
      <c r="F140" s="40"/>
      <c r="G140" s="41"/>
      <c r="H140" s="38"/>
    </row>
    <row r="141" customFormat="false" ht="15" hidden="false" customHeight="true" outlineLevel="0" collapsed="false">
      <c r="A141" s="38" t="n">
        <v>140</v>
      </c>
      <c r="B141" s="39"/>
      <c r="C141" s="40" t="s">
        <v>223</v>
      </c>
      <c r="D141" s="38" t="s">
        <v>56</v>
      </c>
      <c r="E141" s="38"/>
      <c r="F141" s="40"/>
      <c r="G141" s="41"/>
      <c r="H141" s="38"/>
    </row>
    <row r="142" customFormat="false" ht="15" hidden="false" customHeight="true" outlineLevel="0" collapsed="false">
      <c r="A142" s="38" t="n">
        <v>141</v>
      </c>
      <c r="B142" s="39"/>
      <c r="C142" s="40" t="s">
        <v>224</v>
      </c>
      <c r="D142" s="38" t="s">
        <v>56</v>
      </c>
      <c r="E142" s="38"/>
      <c r="F142" s="40"/>
      <c r="G142" s="41"/>
      <c r="H142" s="38"/>
    </row>
    <row r="143" customFormat="false" ht="15" hidden="false" customHeight="true" outlineLevel="0" collapsed="false">
      <c r="A143" s="38" t="n">
        <v>142</v>
      </c>
      <c r="B143" s="39"/>
      <c r="C143" s="40" t="s">
        <v>225</v>
      </c>
      <c r="D143" s="38" t="s">
        <v>56</v>
      </c>
      <c r="E143" s="38"/>
      <c r="F143" s="40"/>
      <c r="G143" s="41"/>
      <c r="H143" s="38"/>
    </row>
    <row r="144" customFormat="false" ht="15" hidden="false" customHeight="true" outlineLevel="0" collapsed="false">
      <c r="A144" s="38" t="n">
        <v>143</v>
      </c>
      <c r="B144" s="39"/>
      <c r="C144" s="40" t="s">
        <v>226</v>
      </c>
      <c r="D144" s="38" t="s">
        <v>80</v>
      </c>
      <c r="E144" s="38"/>
      <c r="F144" s="40"/>
      <c r="G144" s="41"/>
      <c r="H144" s="38"/>
    </row>
    <row r="145" customFormat="false" ht="15" hidden="false" customHeight="true" outlineLevel="0" collapsed="false">
      <c r="A145" s="38" t="n">
        <v>144</v>
      </c>
      <c r="B145" s="39"/>
      <c r="C145" s="40" t="s">
        <v>227</v>
      </c>
      <c r="D145" s="38" t="s">
        <v>80</v>
      </c>
      <c r="E145" s="38"/>
      <c r="F145" s="40"/>
      <c r="G145" s="41"/>
      <c r="H145" s="38"/>
    </row>
    <row r="146" customFormat="false" ht="15" hidden="false" customHeight="true" outlineLevel="0" collapsed="false">
      <c r="A146" s="38" t="n">
        <v>145</v>
      </c>
      <c r="B146" s="39" t="s">
        <v>228</v>
      </c>
      <c r="C146" s="40" t="s">
        <v>229</v>
      </c>
      <c r="D146" s="38" t="s">
        <v>56</v>
      </c>
      <c r="E146" s="38"/>
      <c r="F146" s="40"/>
      <c r="G146" s="41"/>
      <c r="H146" s="38"/>
    </row>
    <row r="147" customFormat="false" ht="15" hidden="false" customHeight="true" outlineLevel="0" collapsed="false">
      <c r="A147" s="38" t="n">
        <v>146</v>
      </c>
      <c r="B147" s="39"/>
      <c r="C147" s="40" t="s">
        <v>230</v>
      </c>
      <c r="D147" s="38" t="s">
        <v>56</v>
      </c>
      <c r="E147" s="38"/>
      <c r="F147" s="40"/>
      <c r="G147" s="41"/>
      <c r="H147" s="38"/>
    </row>
    <row r="148" customFormat="false" ht="15" hidden="false" customHeight="true" outlineLevel="0" collapsed="false">
      <c r="A148" s="38" t="n">
        <v>147</v>
      </c>
      <c r="B148" s="39"/>
      <c r="C148" s="40" t="s">
        <v>231</v>
      </c>
      <c r="D148" s="38" t="s">
        <v>56</v>
      </c>
      <c r="E148" s="38"/>
      <c r="F148" s="40"/>
      <c r="G148" s="41"/>
      <c r="H148" s="38"/>
    </row>
    <row r="149" customFormat="false" ht="15" hidden="false" customHeight="true" outlineLevel="0" collapsed="false">
      <c r="A149" s="38" t="n">
        <v>148</v>
      </c>
      <c r="B149" s="39"/>
      <c r="C149" s="40" t="s">
        <v>232</v>
      </c>
      <c r="D149" s="38" t="s">
        <v>56</v>
      </c>
      <c r="E149" s="38"/>
      <c r="F149" s="40"/>
      <c r="G149" s="41"/>
      <c r="H149" s="38"/>
    </row>
    <row r="150" customFormat="false" ht="15" hidden="false" customHeight="true" outlineLevel="0" collapsed="false">
      <c r="A150" s="38" t="n">
        <v>149</v>
      </c>
      <c r="B150" s="39"/>
      <c r="C150" s="40" t="s">
        <v>233</v>
      </c>
      <c r="D150" s="38" t="s">
        <v>80</v>
      </c>
      <c r="E150" s="38"/>
      <c r="F150" s="40"/>
      <c r="G150" s="41"/>
      <c r="H150" s="38"/>
    </row>
    <row r="151" customFormat="false" ht="15" hidden="false" customHeight="true" outlineLevel="0" collapsed="false">
      <c r="A151" s="38" t="n">
        <v>150</v>
      </c>
      <c r="B151" s="39"/>
      <c r="C151" s="40" t="s">
        <v>234</v>
      </c>
      <c r="D151" s="38" t="s">
        <v>56</v>
      </c>
      <c r="E151" s="38"/>
      <c r="F151" s="40"/>
      <c r="G151" s="41"/>
      <c r="H151" s="38"/>
    </row>
    <row r="152" customFormat="false" ht="15" hidden="false" customHeight="true" outlineLevel="0" collapsed="false">
      <c r="A152" s="38" t="n">
        <v>151</v>
      </c>
      <c r="B152" s="39"/>
      <c r="C152" s="40" t="s">
        <v>235</v>
      </c>
      <c r="D152" s="38" t="s">
        <v>80</v>
      </c>
      <c r="E152" s="38"/>
      <c r="F152" s="40"/>
      <c r="G152" s="41"/>
      <c r="H152" s="38"/>
    </row>
    <row r="153" customFormat="false" ht="15" hidden="false" customHeight="true" outlineLevel="0" collapsed="false">
      <c r="A153" s="38" t="n">
        <v>152</v>
      </c>
      <c r="B153" s="39"/>
      <c r="C153" s="40" t="s">
        <v>236</v>
      </c>
      <c r="D153" s="38" t="s">
        <v>80</v>
      </c>
      <c r="E153" s="38"/>
      <c r="F153" s="40"/>
      <c r="G153" s="41"/>
      <c r="H153" s="38"/>
    </row>
    <row r="154" customFormat="false" ht="15" hidden="false" customHeight="true" outlineLevel="0" collapsed="false">
      <c r="A154" s="38" t="n">
        <v>153</v>
      </c>
      <c r="B154" s="39"/>
      <c r="C154" s="40" t="s">
        <v>237</v>
      </c>
      <c r="D154" s="38" t="s">
        <v>80</v>
      </c>
      <c r="E154" s="38"/>
      <c r="F154" s="40"/>
      <c r="G154" s="41"/>
      <c r="H154" s="38"/>
    </row>
    <row r="155" customFormat="false" ht="15" hidden="false" customHeight="true" outlineLevel="0" collapsed="false">
      <c r="A155" s="38" t="n">
        <v>154</v>
      </c>
      <c r="B155" s="39" t="s">
        <v>238</v>
      </c>
      <c r="C155" s="40" t="s">
        <v>239</v>
      </c>
      <c r="D155" s="38" t="s">
        <v>56</v>
      </c>
      <c r="E155" s="38"/>
      <c r="F155" s="40"/>
      <c r="G155" s="41"/>
      <c r="H155" s="38"/>
    </row>
    <row r="156" customFormat="false" ht="15" hidden="false" customHeight="true" outlineLevel="0" collapsed="false">
      <c r="A156" s="38" t="n">
        <v>155</v>
      </c>
      <c r="B156" s="39"/>
      <c r="C156" s="40" t="s">
        <v>240</v>
      </c>
      <c r="D156" s="38" t="s">
        <v>80</v>
      </c>
      <c r="E156" s="38"/>
      <c r="F156" s="40"/>
      <c r="G156" s="41"/>
      <c r="H156" s="38"/>
    </row>
    <row r="157" customFormat="false" ht="15" hidden="false" customHeight="true" outlineLevel="0" collapsed="false">
      <c r="A157" s="38" t="n">
        <v>156</v>
      </c>
      <c r="B157" s="39"/>
      <c r="C157" s="40" t="s">
        <v>241</v>
      </c>
      <c r="D157" s="38" t="s">
        <v>80</v>
      </c>
      <c r="E157" s="38"/>
      <c r="F157" s="40"/>
      <c r="G157" s="41"/>
      <c r="H157" s="38"/>
    </row>
    <row r="158" customFormat="false" ht="15" hidden="false" customHeight="true" outlineLevel="0" collapsed="false">
      <c r="A158" s="38" t="n">
        <v>157</v>
      </c>
      <c r="B158" s="39"/>
      <c r="C158" s="40" t="s">
        <v>242</v>
      </c>
      <c r="D158" s="38" t="s">
        <v>56</v>
      </c>
      <c r="E158" s="38"/>
      <c r="F158" s="40"/>
      <c r="G158" s="41"/>
      <c r="H158" s="38"/>
    </row>
    <row r="159" customFormat="false" ht="15" hidden="false" customHeight="true" outlineLevel="0" collapsed="false">
      <c r="A159" s="38" t="n">
        <v>158</v>
      </c>
      <c r="B159" s="39"/>
      <c r="C159" s="40" t="s">
        <v>243</v>
      </c>
      <c r="D159" s="38" t="s">
        <v>56</v>
      </c>
      <c r="E159" s="38"/>
      <c r="F159" s="40"/>
      <c r="G159" s="41"/>
      <c r="H159" s="38"/>
    </row>
    <row r="160" customFormat="false" ht="15" hidden="false" customHeight="true" outlineLevel="0" collapsed="false">
      <c r="A160" s="38" t="n">
        <v>159</v>
      </c>
      <c r="B160" s="39" t="s">
        <v>244</v>
      </c>
      <c r="C160" s="40" t="s">
        <v>245</v>
      </c>
      <c r="D160" s="38" t="s">
        <v>56</v>
      </c>
      <c r="E160" s="38"/>
      <c r="F160" s="40"/>
      <c r="G160" s="41"/>
      <c r="H160" s="38"/>
    </row>
    <row r="161" customFormat="false" ht="15" hidden="false" customHeight="true" outlineLevel="0" collapsed="false">
      <c r="A161" s="38" t="n">
        <v>160</v>
      </c>
      <c r="B161" s="39"/>
      <c r="C161" s="40" t="s">
        <v>246</v>
      </c>
      <c r="D161" s="38" t="s">
        <v>80</v>
      </c>
      <c r="E161" s="38"/>
      <c r="F161" s="40"/>
      <c r="G161" s="41"/>
      <c r="H161" s="38"/>
    </row>
    <row r="162" customFormat="false" ht="15" hidden="false" customHeight="true" outlineLevel="0" collapsed="false">
      <c r="A162" s="38" t="n">
        <v>161</v>
      </c>
      <c r="B162" s="39"/>
      <c r="C162" s="40" t="s">
        <v>247</v>
      </c>
      <c r="D162" s="38" t="s">
        <v>80</v>
      </c>
      <c r="E162" s="38"/>
      <c r="F162" s="40"/>
      <c r="G162" s="41"/>
      <c r="H162" s="38"/>
    </row>
    <row r="163" customFormat="false" ht="15" hidden="false" customHeight="true" outlineLevel="0" collapsed="false">
      <c r="A163" s="38" t="n">
        <v>162</v>
      </c>
      <c r="B163" s="39"/>
      <c r="C163" s="40" t="s">
        <v>248</v>
      </c>
      <c r="D163" s="38" t="s">
        <v>80</v>
      </c>
      <c r="E163" s="38"/>
      <c r="F163" s="40"/>
      <c r="G163" s="41"/>
      <c r="H163" s="38"/>
    </row>
    <row r="164" customFormat="false" ht="15" hidden="false" customHeight="true" outlineLevel="0" collapsed="false">
      <c r="A164" s="38" t="n">
        <v>163</v>
      </c>
      <c r="B164" s="39" t="s">
        <v>249</v>
      </c>
      <c r="C164" s="40" t="s">
        <v>250</v>
      </c>
      <c r="D164" s="38" t="s">
        <v>56</v>
      </c>
      <c r="E164" s="38"/>
      <c r="F164" s="40"/>
      <c r="G164" s="41"/>
      <c r="H164" s="38"/>
    </row>
    <row r="165" customFormat="false" ht="15" hidden="false" customHeight="true" outlineLevel="0" collapsed="false">
      <c r="A165" s="38" t="n">
        <v>164</v>
      </c>
      <c r="B165" s="39"/>
      <c r="C165" s="40" t="s">
        <v>251</v>
      </c>
      <c r="D165" s="38" t="s">
        <v>56</v>
      </c>
      <c r="E165" s="38"/>
      <c r="F165" s="40"/>
      <c r="G165" s="41"/>
      <c r="H165" s="38"/>
    </row>
    <row r="166" customFormat="false" ht="15" hidden="false" customHeight="true" outlineLevel="0" collapsed="false">
      <c r="A166" s="38" t="n">
        <v>165</v>
      </c>
      <c r="B166" s="39"/>
      <c r="C166" s="40" t="s">
        <v>252</v>
      </c>
      <c r="D166" s="38" t="s">
        <v>80</v>
      </c>
      <c r="E166" s="38"/>
      <c r="F166" s="40"/>
      <c r="G166" s="41"/>
      <c r="H166" s="38"/>
    </row>
    <row r="167" customFormat="false" ht="15" hidden="false" customHeight="true" outlineLevel="0" collapsed="false">
      <c r="A167" s="38" t="n">
        <v>166</v>
      </c>
      <c r="B167" s="39"/>
      <c r="C167" s="40" t="s">
        <v>253</v>
      </c>
      <c r="D167" s="38" t="s">
        <v>56</v>
      </c>
      <c r="E167" s="38"/>
      <c r="F167" s="40"/>
      <c r="G167" s="41"/>
      <c r="H167" s="38"/>
    </row>
    <row r="168" customFormat="false" ht="15" hidden="false" customHeight="true" outlineLevel="0" collapsed="false">
      <c r="A168" s="38" t="n">
        <v>167</v>
      </c>
      <c r="B168" s="39"/>
      <c r="C168" s="40" t="s">
        <v>254</v>
      </c>
      <c r="D168" s="38" t="s">
        <v>80</v>
      </c>
      <c r="E168" s="38"/>
      <c r="F168" s="40"/>
      <c r="G168" s="41"/>
      <c r="H168" s="38"/>
    </row>
    <row r="169" customFormat="false" ht="15" hidden="false" customHeight="true" outlineLevel="0" collapsed="false">
      <c r="A169" s="38" t="n">
        <v>168</v>
      </c>
      <c r="B169" s="39" t="s">
        <v>255</v>
      </c>
      <c r="C169" s="40" t="s">
        <v>256</v>
      </c>
      <c r="D169" s="38" t="s">
        <v>56</v>
      </c>
      <c r="E169" s="38"/>
      <c r="F169" s="40"/>
      <c r="G169" s="41"/>
      <c r="H169" s="38"/>
    </row>
    <row r="170" customFormat="false" ht="15" hidden="false" customHeight="true" outlineLevel="0" collapsed="false">
      <c r="A170" s="38" t="n">
        <v>169</v>
      </c>
      <c r="B170" s="39"/>
      <c r="C170" s="40" t="s">
        <v>257</v>
      </c>
      <c r="D170" s="38" t="s">
        <v>56</v>
      </c>
      <c r="E170" s="38"/>
      <c r="F170" s="40"/>
      <c r="G170" s="41"/>
      <c r="H170" s="38"/>
    </row>
    <row r="171" customFormat="false" ht="15" hidden="false" customHeight="true" outlineLevel="0" collapsed="false">
      <c r="A171" s="38" t="n">
        <v>170</v>
      </c>
      <c r="B171" s="39"/>
      <c r="C171" s="40" t="s">
        <v>258</v>
      </c>
      <c r="D171" s="38" t="s">
        <v>56</v>
      </c>
      <c r="E171" s="38"/>
      <c r="F171" s="40"/>
      <c r="G171" s="41"/>
      <c r="H171" s="38"/>
    </row>
    <row r="172" customFormat="false" ht="15" hidden="false" customHeight="true" outlineLevel="0" collapsed="false">
      <c r="A172" s="38" t="n">
        <v>171</v>
      </c>
      <c r="B172" s="39"/>
      <c r="C172" s="40" t="s">
        <v>259</v>
      </c>
      <c r="D172" s="38" t="s">
        <v>56</v>
      </c>
      <c r="E172" s="38"/>
      <c r="F172" s="40"/>
      <c r="G172" s="41"/>
      <c r="H172" s="38"/>
    </row>
    <row r="173" customFormat="false" ht="15" hidden="false" customHeight="true" outlineLevel="0" collapsed="false">
      <c r="A173" s="38" t="n">
        <v>172</v>
      </c>
      <c r="B173" s="39" t="s">
        <v>260</v>
      </c>
      <c r="C173" s="40" t="s">
        <v>261</v>
      </c>
      <c r="D173" s="38" t="s">
        <v>56</v>
      </c>
      <c r="E173" s="38"/>
      <c r="F173" s="40"/>
      <c r="G173" s="41"/>
      <c r="H173" s="38"/>
    </row>
    <row r="174" customFormat="false" ht="15" hidden="false" customHeight="true" outlineLevel="0" collapsed="false">
      <c r="A174" s="38" t="n">
        <v>173</v>
      </c>
      <c r="B174" s="39"/>
      <c r="C174" s="40" t="s">
        <v>262</v>
      </c>
      <c r="D174" s="38" t="s">
        <v>56</v>
      </c>
      <c r="E174" s="38"/>
      <c r="F174" s="40"/>
      <c r="G174" s="41"/>
      <c r="H174" s="38"/>
    </row>
    <row r="175" customFormat="false" ht="15" hidden="false" customHeight="true" outlineLevel="0" collapsed="false">
      <c r="A175" s="38" t="n">
        <v>174</v>
      </c>
      <c r="B175" s="39"/>
      <c r="C175" s="40" t="s">
        <v>263</v>
      </c>
      <c r="D175" s="38" t="s">
        <v>56</v>
      </c>
      <c r="E175" s="38"/>
      <c r="F175" s="40"/>
      <c r="G175" s="41"/>
      <c r="H175" s="38"/>
    </row>
    <row r="176" customFormat="false" ht="15" hidden="false" customHeight="true" outlineLevel="0" collapsed="false">
      <c r="A176" s="38" t="n">
        <v>175</v>
      </c>
      <c r="B176" s="39"/>
      <c r="C176" s="40" t="s">
        <v>264</v>
      </c>
      <c r="D176" s="38" t="s">
        <v>56</v>
      </c>
      <c r="E176" s="38"/>
      <c r="F176" s="40"/>
      <c r="G176" s="41"/>
      <c r="H176" s="38"/>
    </row>
    <row r="177" customFormat="false" ht="15" hidden="false" customHeight="true" outlineLevel="0" collapsed="false">
      <c r="A177" s="38" t="n">
        <v>176</v>
      </c>
      <c r="B177" s="39" t="s">
        <v>265</v>
      </c>
      <c r="C177" s="40" t="s">
        <v>266</v>
      </c>
      <c r="D177" s="38" t="s">
        <v>56</v>
      </c>
      <c r="E177" s="38"/>
      <c r="F177" s="40"/>
      <c r="G177" s="41"/>
      <c r="H177" s="38"/>
    </row>
    <row r="178" customFormat="false" ht="15" hidden="false" customHeight="true" outlineLevel="0" collapsed="false">
      <c r="A178" s="38" t="n">
        <v>177</v>
      </c>
      <c r="B178" s="39"/>
      <c r="C178" s="40" t="s">
        <v>267</v>
      </c>
      <c r="D178" s="38" t="s">
        <v>56</v>
      </c>
      <c r="E178" s="38"/>
      <c r="F178" s="40"/>
      <c r="G178" s="41"/>
      <c r="H178" s="38"/>
    </row>
    <row r="179" customFormat="false" ht="15" hidden="false" customHeight="true" outlineLevel="0" collapsed="false">
      <c r="A179" s="38" t="n">
        <v>178</v>
      </c>
      <c r="B179" s="39"/>
      <c r="C179" s="40" t="s">
        <v>93</v>
      </c>
      <c r="D179" s="38" t="s">
        <v>56</v>
      </c>
      <c r="E179" s="38"/>
      <c r="F179" s="40"/>
      <c r="G179" s="41"/>
      <c r="H179" s="38"/>
    </row>
    <row r="180" customFormat="false" ht="15" hidden="false" customHeight="true" outlineLevel="0" collapsed="false">
      <c r="A180" s="38" t="n">
        <v>179</v>
      </c>
      <c r="B180" s="39"/>
      <c r="C180" s="40" t="s">
        <v>268</v>
      </c>
      <c r="D180" s="38" t="s">
        <v>56</v>
      </c>
      <c r="E180" s="38"/>
      <c r="F180" s="40"/>
      <c r="G180" s="41"/>
      <c r="H180" s="38"/>
    </row>
    <row r="181" customFormat="false" ht="15" hidden="false" customHeight="true" outlineLevel="0" collapsed="false">
      <c r="A181" s="38" t="n">
        <v>180</v>
      </c>
      <c r="B181" s="39"/>
      <c r="C181" s="40" t="s">
        <v>269</v>
      </c>
      <c r="D181" s="38" t="s">
        <v>56</v>
      </c>
      <c r="E181" s="38"/>
      <c r="F181" s="40"/>
      <c r="G181" s="41"/>
      <c r="H181" s="38"/>
    </row>
    <row r="182" customFormat="false" ht="15" hidden="false" customHeight="true" outlineLevel="0" collapsed="false">
      <c r="A182" s="38" t="n">
        <v>181</v>
      </c>
      <c r="B182" s="39"/>
      <c r="C182" s="40" t="s">
        <v>270</v>
      </c>
      <c r="D182" s="38" t="s">
        <v>56</v>
      </c>
      <c r="E182" s="38"/>
      <c r="F182" s="40"/>
      <c r="G182" s="41"/>
      <c r="H182" s="38"/>
    </row>
    <row r="183" customFormat="false" ht="15" hidden="false" customHeight="true" outlineLevel="0" collapsed="false">
      <c r="A183" s="38" t="n">
        <v>182</v>
      </c>
      <c r="B183" s="39"/>
      <c r="C183" s="40" t="s">
        <v>271</v>
      </c>
      <c r="D183" s="38" t="s">
        <v>80</v>
      </c>
      <c r="E183" s="38"/>
      <c r="F183" s="40"/>
      <c r="G183" s="41"/>
      <c r="H183" s="38"/>
    </row>
    <row r="184" customFormat="false" ht="15" hidden="false" customHeight="true" outlineLevel="0" collapsed="false">
      <c r="A184" s="38" t="n">
        <v>183</v>
      </c>
      <c r="B184" s="39" t="s">
        <v>272</v>
      </c>
      <c r="C184" s="40" t="s">
        <v>273</v>
      </c>
      <c r="D184" s="38" t="s">
        <v>56</v>
      </c>
      <c r="E184" s="38"/>
      <c r="F184" s="40"/>
      <c r="G184" s="41"/>
      <c r="H184" s="38"/>
    </row>
    <row r="185" customFormat="false" ht="15" hidden="false" customHeight="true" outlineLevel="0" collapsed="false">
      <c r="A185" s="38" t="n">
        <v>184</v>
      </c>
      <c r="B185" s="39"/>
      <c r="C185" s="40" t="s">
        <v>274</v>
      </c>
      <c r="D185" s="38" t="s">
        <v>56</v>
      </c>
      <c r="E185" s="38"/>
      <c r="F185" s="40"/>
      <c r="G185" s="41"/>
      <c r="H185" s="38"/>
    </row>
    <row r="186" customFormat="false" ht="15" hidden="false" customHeight="true" outlineLevel="0" collapsed="false">
      <c r="A186" s="38" t="n">
        <v>185</v>
      </c>
      <c r="B186" s="39"/>
      <c r="C186" s="40" t="s">
        <v>275</v>
      </c>
      <c r="D186" s="38" t="s">
        <v>56</v>
      </c>
      <c r="E186" s="38"/>
      <c r="F186" s="40"/>
      <c r="G186" s="41"/>
      <c r="H186" s="38"/>
    </row>
    <row r="187" customFormat="false" ht="15" hidden="false" customHeight="true" outlineLevel="0" collapsed="false">
      <c r="A187" s="38" t="n">
        <v>186</v>
      </c>
      <c r="B187" s="39"/>
      <c r="C187" s="40" t="s">
        <v>276</v>
      </c>
      <c r="D187" s="38" t="s">
        <v>56</v>
      </c>
      <c r="E187" s="38"/>
      <c r="F187" s="40"/>
      <c r="G187" s="41"/>
      <c r="H187" s="38"/>
    </row>
    <row r="188" customFormat="false" ht="15" hidden="false" customHeight="true" outlineLevel="0" collapsed="false">
      <c r="A188" s="38" t="n">
        <v>187</v>
      </c>
      <c r="B188" s="39"/>
      <c r="C188" s="40" t="s">
        <v>277</v>
      </c>
      <c r="D188" s="38" t="s">
        <v>56</v>
      </c>
      <c r="E188" s="38"/>
      <c r="F188" s="40"/>
      <c r="G188" s="41"/>
      <c r="H188" s="38"/>
    </row>
    <row r="189" customFormat="false" ht="15" hidden="false" customHeight="true" outlineLevel="0" collapsed="false">
      <c r="A189" s="38" t="n">
        <v>188</v>
      </c>
      <c r="B189" s="39"/>
      <c r="C189" s="40" t="s">
        <v>278</v>
      </c>
      <c r="D189" s="38" t="s">
        <v>80</v>
      </c>
      <c r="E189" s="38"/>
      <c r="F189" s="40"/>
      <c r="G189" s="41"/>
      <c r="H189" s="38"/>
    </row>
  </sheetData>
  <mergeCells count="36">
    <mergeCell ref="B2:B5"/>
    <mergeCell ref="B6:B10"/>
    <mergeCell ref="B11:B15"/>
    <mergeCell ref="B16:B21"/>
    <mergeCell ref="B22:B28"/>
    <mergeCell ref="B29:B34"/>
    <mergeCell ref="B35:B38"/>
    <mergeCell ref="B39:B41"/>
    <mergeCell ref="B42:B45"/>
    <mergeCell ref="B46:B49"/>
    <mergeCell ref="B50:B54"/>
    <mergeCell ref="B55:B61"/>
    <mergeCell ref="B62:B70"/>
    <mergeCell ref="B71:B75"/>
    <mergeCell ref="B76:B79"/>
    <mergeCell ref="B80:B83"/>
    <mergeCell ref="B84:B86"/>
    <mergeCell ref="B87:B92"/>
    <mergeCell ref="B93:B100"/>
    <mergeCell ref="B101:B104"/>
    <mergeCell ref="B105:B108"/>
    <mergeCell ref="B109:B115"/>
    <mergeCell ref="B116:B119"/>
    <mergeCell ref="B120:B124"/>
    <mergeCell ref="B125:B129"/>
    <mergeCell ref="B130:B133"/>
    <mergeCell ref="B134:B138"/>
    <mergeCell ref="B139:B145"/>
    <mergeCell ref="B146:B154"/>
    <mergeCell ref="B155:B159"/>
    <mergeCell ref="B160:B163"/>
    <mergeCell ref="B164:B168"/>
    <mergeCell ref="B169:B172"/>
    <mergeCell ref="B173:B176"/>
    <mergeCell ref="B177:B183"/>
    <mergeCell ref="B184:B189"/>
  </mergeCells>
  <dataValidations count="2">
    <dataValidation allowBlank="true" error="Please select from the list" errorStyle="stop" errorTitle="Invalid Status" operator="between" prompt="Choose: Not Started, In Progress, or Solved" promptTitle="Select Status" showDropDown="false" showErrorMessage="false" showInputMessage="false" sqref="E2:E189" type="list">
      <formula1>"Not Started,In Progress,Solved"</formula1>
      <formula2>0</formula2>
    </dataValidation>
    <dataValidation allowBlank="true" errorStyle="stop" operator="between" prompt="Mark if you need to revisit this problem" promptTitle="Revisit?" showDropDown="false" showErrorMessage="false" showInputMessage="false" sqref="H2:H18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45"/>
    <col collapsed="false" customWidth="true" hidden="false" outlineLevel="0" max="4" min="4" style="1" width="12"/>
    <col collapsed="false" customWidth="true" hidden="false" outlineLevel="0" max="5" min="5" style="1" width="25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35"/>
    <col collapsed="false" customWidth="true" hidden="false" outlineLevel="0" max="9" min="9" style="1" width="10"/>
  </cols>
  <sheetData>
    <row r="1" customFormat="false" ht="15" hidden="false" customHeight="true" outlineLevel="0" collapsed="false">
      <c r="A1" s="37" t="s">
        <v>46</v>
      </c>
      <c r="B1" s="37" t="s">
        <v>19</v>
      </c>
      <c r="C1" s="37" t="s">
        <v>48</v>
      </c>
      <c r="D1" s="37" t="s">
        <v>49</v>
      </c>
      <c r="E1" s="37" t="s">
        <v>33</v>
      </c>
      <c r="F1" s="37" t="s">
        <v>50</v>
      </c>
      <c r="G1" s="37" t="s">
        <v>51</v>
      </c>
      <c r="H1" s="37" t="s">
        <v>52</v>
      </c>
      <c r="I1" s="37" t="s">
        <v>53</v>
      </c>
    </row>
    <row r="2" customFormat="false" ht="15" hidden="false" customHeight="true" outlineLevel="0" collapsed="false">
      <c r="A2" s="38" t="n">
        <v>1</v>
      </c>
      <c r="B2" s="39" t="s">
        <v>279</v>
      </c>
      <c r="C2" s="40" t="s">
        <v>82</v>
      </c>
      <c r="D2" s="38" t="s">
        <v>56</v>
      </c>
      <c r="E2" s="40" t="s">
        <v>280</v>
      </c>
      <c r="F2" s="38" t="str">
        <f aca="false">IF(COUNTIFS('DSA Problem Tracker'!$C:$C,C2,'DSA Problem Tracker'!$E:$E,"Solved")&gt;0,"Solved","")</f>
        <v/>
      </c>
      <c r="G2" s="38" t="str">
        <f aca="true">IF(F2="Solved",IF(COUNTIFS('DSA Problem Tracker'!$C:$C,C2,'DSA Problem Tracker'!$E:$E,"Solved")&gt;0,INDEX('DSA Problem Tracker'!$F:$F,MATCH(C2,'DSA Problem Tracker'!$C:$C,0)),TODAY()),"")</f>
        <v/>
      </c>
      <c r="H2" s="41"/>
      <c r="I2" s="38"/>
    </row>
    <row r="3" customFormat="false" ht="15" hidden="false" customHeight="true" outlineLevel="0" collapsed="false">
      <c r="A3" s="38" t="n">
        <v>2</v>
      </c>
      <c r="B3" s="39"/>
      <c r="C3" s="40" t="s">
        <v>281</v>
      </c>
      <c r="D3" s="38" t="s">
        <v>56</v>
      </c>
      <c r="E3" s="40" t="s">
        <v>89</v>
      </c>
      <c r="F3" s="38" t="str">
        <f aca="false">IF(COUNTIFS('DSA Problem Tracker'!$C:$C,C3,'DSA Problem Tracker'!$E:$E,"Solved")&gt;0,"Solved","")</f>
        <v/>
      </c>
      <c r="G3" s="38" t="str">
        <f aca="true">IF(F3="Solved",IF(COUNTIFS('DSA Problem Tracker'!$C:$C,C3,'DSA Problem Tracker'!$E:$E,"Solved")&gt;0,INDEX('DSA Problem Tracker'!$F:$F,MATCH(C3,'DSA Problem Tracker'!$C:$C,0)),TODAY()),"")</f>
        <v/>
      </c>
      <c r="H3" s="41"/>
      <c r="I3" s="38"/>
    </row>
    <row r="4" customFormat="false" ht="15" hidden="false" customHeight="true" outlineLevel="0" collapsed="false">
      <c r="A4" s="38" t="n">
        <v>3</v>
      </c>
      <c r="B4" s="39"/>
      <c r="C4" s="40" t="s">
        <v>62</v>
      </c>
      <c r="D4" s="38" t="s">
        <v>56</v>
      </c>
      <c r="E4" s="40" t="s">
        <v>282</v>
      </c>
      <c r="F4" s="38" t="str">
        <f aca="false">IF(COUNTIFS('DSA Problem Tracker'!$C:$C,C4,'DSA Problem Tracker'!$E:$E,"Solved")&gt;0,"Solved","")</f>
        <v/>
      </c>
      <c r="G4" s="38" t="str">
        <f aca="true">IF(F4="Solved",IF(COUNTIFS('DSA Problem Tracker'!$C:$C,C4,'DSA Problem Tracker'!$E:$E,"Solved")&gt;0,INDEX('DSA Problem Tracker'!$F:$F,MATCH(C4,'DSA Problem Tracker'!$C:$C,0)),TODAY()),"")</f>
        <v/>
      </c>
      <c r="H4" s="41"/>
      <c r="I4" s="38"/>
    </row>
    <row r="5" customFormat="false" ht="15" hidden="false" customHeight="true" outlineLevel="0" collapsed="false">
      <c r="A5" s="38" t="n">
        <v>4</v>
      </c>
      <c r="B5" s="39"/>
      <c r="C5" s="40" t="s">
        <v>277</v>
      </c>
      <c r="D5" s="38" t="s">
        <v>56</v>
      </c>
      <c r="E5" s="40" t="s">
        <v>283</v>
      </c>
      <c r="F5" s="38" t="str">
        <f aca="false">IF(COUNTIFS('DSA Problem Tracker'!$C:$C,C5,'DSA Problem Tracker'!$E:$E,"Solved")&gt;0,"Solved","")</f>
        <v/>
      </c>
      <c r="G5" s="38" t="str">
        <f aca="true">IF(F5="Solved",IF(COUNTIFS('DSA Problem Tracker'!$C:$C,C5,'DSA Problem Tracker'!$E:$E,"Solved")&gt;0,INDEX('DSA Problem Tracker'!$F:$F,MATCH(C5,'DSA Problem Tracker'!$C:$C,0)),TODAY()),"")</f>
        <v/>
      </c>
      <c r="H5" s="41"/>
      <c r="I5" s="38"/>
    </row>
    <row r="6" customFormat="false" ht="15" hidden="false" customHeight="true" outlineLevel="0" collapsed="false">
      <c r="A6" s="38" t="n">
        <v>5</v>
      </c>
      <c r="B6" s="39"/>
      <c r="C6" s="40" t="s">
        <v>114</v>
      </c>
      <c r="D6" s="38" t="s">
        <v>80</v>
      </c>
      <c r="E6" s="40" t="s">
        <v>284</v>
      </c>
      <c r="F6" s="38" t="str">
        <f aca="false">IF(COUNTIFS('DSA Problem Tracker'!$C:$C,C6,'DSA Problem Tracker'!$E:$E,"Solved")&gt;0,"Solved","")</f>
        <v/>
      </c>
      <c r="G6" s="38" t="str">
        <f aca="true">IF(F6="Solved",IF(COUNTIFS('DSA Problem Tracker'!$C:$C,C6,'DSA Problem Tracker'!$E:$E,"Solved")&gt;0,INDEX('DSA Problem Tracker'!$F:$F,MATCH(C6,'DSA Problem Tracker'!$C:$C,0)),TODAY()),"")</f>
        <v/>
      </c>
      <c r="H6" s="41"/>
      <c r="I6" s="38"/>
    </row>
    <row r="7" customFormat="false" ht="15" hidden="false" customHeight="true" outlineLevel="0" collapsed="false">
      <c r="A7" s="38" t="n">
        <v>6</v>
      </c>
      <c r="B7" s="39"/>
      <c r="C7" s="40" t="s">
        <v>95</v>
      </c>
      <c r="D7" s="38" t="s">
        <v>80</v>
      </c>
      <c r="E7" s="40" t="s">
        <v>89</v>
      </c>
      <c r="F7" s="38" t="str">
        <f aca="false">IF(COUNTIFS('DSA Problem Tracker'!$C:$C,C7,'DSA Problem Tracker'!$E:$E,"Solved")&gt;0,"Solved","")</f>
        <v/>
      </c>
      <c r="G7" s="38" t="str">
        <f aca="true">IF(F7="Solved",IF(COUNTIFS('DSA Problem Tracker'!$C:$C,C7,'DSA Problem Tracker'!$E:$E,"Solved")&gt;0,INDEX('DSA Problem Tracker'!$F:$F,MATCH(C7,'DSA Problem Tracker'!$C:$C,0)),TODAY()),"")</f>
        <v/>
      </c>
      <c r="H7" s="41"/>
      <c r="I7" s="38"/>
    </row>
    <row r="8" customFormat="false" ht="15" hidden="false" customHeight="true" outlineLevel="0" collapsed="false">
      <c r="A8" s="38" t="n">
        <v>7</v>
      </c>
      <c r="B8" s="39"/>
      <c r="C8" s="40" t="s">
        <v>138</v>
      </c>
      <c r="D8" s="38" t="s">
        <v>80</v>
      </c>
      <c r="E8" s="40" t="s">
        <v>285</v>
      </c>
      <c r="F8" s="38" t="str">
        <f aca="false">IF(COUNTIFS('DSA Problem Tracker'!$C:$C,C8,'DSA Problem Tracker'!$E:$E,"Solved")&gt;0,"Solved","")</f>
        <v/>
      </c>
      <c r="G8" s="38" t="str">
        <f aca="true">IF(F8="Solved",IF(COUNTIFS('DSA Problem Tracker'!$C:$C,C8,'DSA Problem Tracker'!$E:$E,"Solved")&gt;0,INDEX('DSA Problem Tracker'!$F:$F,MATCH(C8,'DSA Problem Tracker'!$C:$C,0)),TODAY()),"")</f>
        <v/>
      </c>
      <c r="H8" s="41"/>
      <c r="I8" s="38"/>
    </row>
    <row r="9" customFormat="false" ht="15" hidden="false" customHeight="true" outlineLevel="0" collapsed="false">
      <c r="A9" s="38" t="n">
        <v>8</v>
      </c>
      <c r="B9" s="39"/>
      <c r="C9" s="40" t="s">
        <v>286</v>
      </c>
      <c r="D9" s="38" t="s">
        <v>80</v>
      </c>
      <c r="E9" s="40" t="s">
        <v>287</v>
      </c>
      <c r="F9" s="38" t="str">
        <f aca="false">IF(COUNTIFS('DSA Problem Tracker'!$C:$C,C9,'DSA Problem Tracker'!$E:$E,"Solved")&gt;0,"Solved","")</f>
        <v/>
      </c>
      <c r="G9" s="38" t="str">
        <f aca="true">IF(F9="Solved",IF(COUNTIFS('DSA Problem Tracker'!$C:$C,C9,'DSA Problem Tracker'!$E:$E,"Solved")&gt;0,INDEX('DSA Problem Tracker'!$F:$F,MATCH(C9,'DSA Problem Tracker'!$C:$C,0)),TODAY()),"")</f>
        <v/>
      </c>
      <c r="H9" s="41"/>
      <c r="I9" s="38"/>
    </row>
    <row r="10" customFormat="false" ht="15" hidden="false" customHeight="true" outlineLevel="0" collapsed="false">
      <c r="A10" s="38" t="n">
        <v>9</v>
      </c>
      <c r="B10" s="39"/>
      <c r="C10" s="40" t="s">
        <v>288</v>
      </c>
      <c r="D10" s="38" t="s">
        <v>56</v>
      </c>
      <c r="E10" s="40" t="s">
        <v>289</v>
      </c>
      <c r="F10" s="38" t="str">
        <f aca="false">IF(COUNTIFS('DSA Problem Tracker'!$C:$C,C10,'DSA Problem Tracker'!$E:$E,"Solved")&gt;0,"Solved","")</f>
        <v/>
      </c>
      <c r="G10" s="38" t="str">
        <f aca="true">IF(F10="Solved",IF(COUNTIFS('DSA Problem Tracker'!$C:$C,C10,'DSA Problem Tracker'!$E:$E,"Solved")&gt;0,INDEX('DSA Problem Tracker'!$F:$F,MATCH(C10,'DSA Problem Tracker'!$C:$C,0)),TODAY()),"")</f>
        <v/>
      </c>
      <c r="H10" s="41"/>
      <c r="I10" s="38"/>
    </row>
    <row r="11" customFormat="false" ht="15" hidden="false" customHeight="true" outlineLevel="0" collapsed="false">
      <c r="A11" s="38" t="n">
        <v>10</v>
      </c>
      <c r="B11" s="39"/>
      <c r="C11" s="40" t="s">
        <v>290</v>
      </c>
      <c r="D11" s="38" t="s">
        <v>60</v>
      </c>
      <c r="E11" s="40" t="s">
        <v>291</v>
      </c>
      <c r="F11" s="38" t="str">
        <f aca="false">IF(COUNTIFS('DSA Problem Tracker'!$C:$C,C11,'DSA Problem Tracker'!$E:$E,"Solved")&gt;0,"Solved","")</f>
        <v/>
      </c>
      <c r="G11" s="38" t="str">
        <f aca="true">IF(F11="Solved",IF(COUNTIFS('DSA Problem Tracker'!$C:$C,C11,'DSA Problem Tracker'!$E:$E,"Solved")&gt;0,INDEX('DSA Problem Tracker'!$F:$F,MATCH(C11,'DSA Problem Tracker'!$C:$C,0)),TODAY()),"")</f>
        <v/>
      </c>
      <c r="H11" s="41"/>
      <c r="I11" s="38"/>
    </row>
    <row r="12" customFormat="false" ht="15" hidden="false" customHeight="true" outlineLevel="0" collapsed="false">
      <c r="A12" s="38" t="n">
        <v>11</v>
      </c>
      <c r="B12" s="39" t="s">
        <v>292</v>
      </c>
      <c r="C12" s="40" t="s">
        <v>293</v>
      </c>
      <c r="D12" s="38" t="s">
        <v>60</v>
      </c>
      <c r="E12" s="40" t="s">
        <v>294</v>
      </c>
      <c r="F12" s="38" t="str">
        <f aca="false">IF(COUNTIFS('DSA Problem Tracker'!$C:$C,C12,'DSA Problem Tracker'!$E:$E,"Solved")&gt;0,"Solved","")</f>
        <v/>
      </c>
      <c r="G12" s="38" t="str">
        <f aca="true">IF(F12="Solved",IF(COUNTIFS('DSA Problem Tracker'!$C:$C,C12,'DSA Problem Tracker'!$E:$E,"Solved")&gt;0,INDEX('DSA Problem Tracker'!$F:$F,MATCH(C12,'DSA Problem Tracker'!$C:$C,0)),TODAY()),"")</f>
        <v/>
      </c>
      <c r="H12" s="41"/>
      <c r="I12" s="38"/>
    </row>
    <row r="13" customFormat="false" ht="15" hidden="false" customHeight="true" outlineLevel="0" collapsed="false">
      <c r="A13" s="38" t="n">
        <v>12</v>
      </c>
      <c r="B13" s="39"/>
      <c r="C13" s="40" t="s">
        <v>69</v>
      </c>
      <c r="D13" s="38" t="s">
        <v>56</v>
      </c>
      <c r="E13" s="40" t="s">
        <v>67</v>
      </c>
      <c r="F13" s="38" t="str">
        <f aca="false">IF(COUNTIFS('DSA Problem Tracker'!$C:$C,C13,'DSA Problem Tracker'!$E:$E,"Solved")&gt;0,"Solved","")</f>
        <v/>
      </c>
      <c r="G13" s="38" t="str">
        <f aca="true">IF(F13="Solved",IF(COUNTIFS('DSA Problem Tracker'!$C:$C,C13,'DSA Problem Tracker'!$E:$E,"Solved")&gt;0,INDEX('DSA Problem Tracker'!$F:$F,MATCH(C13,'DSA Problem Tracker'!$C:$C,0)),TODAY()),"")</f>
        <v/>
      </c>
      <c r="H13" s="41"/>
      <c r="I13" s="38"/>
    </row>
    <row r="14" customFormat="false" ht="15" hidden="false" customHeight="true" outlineLevel="0" collapsed="false">
      <c r="A14" s="38" t="n">
        <v>13</v>
      </c>
      <c r="B14" s="39"/>
      <c r="C14" s="40" t="s">
        <v>152</v>
      </c>
      <c r="D14" s="38" t="s">
        <v>80</v>
      </c>
      <c r="E14" s="40" t="s">
        <v>149</v>
      </c>
      <c r="F14" s="38" t="str">
        <f aca="false">IF(COUNTIFS('DSA Problem Tracker'!$C:$C,C14,'DSA Problem Tracker'!$E:$E,"Solved")&gt;0,"Solved","")</f>
        <v/>
      </c>
      <c r="G14" s="38" t="str">
        <f aca="true">IF(F14="Solved",IF(COUNTIFS('DSA Problem Tracker'!$C:$C,C14,'DSA Problem Tracker'!$E:$E,"Solved")&gt;0,INDEX('DSA Problem Tracker'!$F:$F,MATCH(C14,'DSA Problem Tracker'!$C:$C,0)),TODAY()),"")</f>
        <v/>
      </c>
      <c r="H14" s="41"/>
      <c r="I14" s="38"/>
    </row>
    <row r="15" customFormat="false" ht="15" hidden="false" customHeight="true" outlineLevel="0" collapsed="false">
      <c r="A15" s="38" t="n">
        <v>14</v>
      </c>
      <c r="B15" s="39"/>
      <c r="C15" s="40" t="s">
        <v>277</v>
      </c>
      <c r="D15" s="38" t="s">
        <v>56</v>
      </c>
      <c r="E15" s="40" t="s">
        <v>283</v>
      </c>
      <c r="F15" s="38" t="str">
        <f aca="false">IF(COUNTIFS('DSA Problem Tracker'!$C:$C,C15,'DSA Problem Tracker'!$E:$E,"Solved")&gt;0,"Solved","")</f>
        <v/>
      </c>
      <c r="G15" s="38" t="str">
        <f aca="true">IF(F15="Solved",IF(COUNTIFS('DSA Problem Tracker'!$C:$C,C15,'DSA Problem Tracker'!$E:$E,"Solved")&gt;0,INDEX('DSA Problem Tracker'!$F:$F,MATCH(C15,'DSA Problem Tracker'!$C:$C,0)),TODAY()),"")</f>
        <v/>
      </c>
      <c r="H15" s="41"/>
      <c r="I15" s="38"/>
    </row>
    <row r="16" customFormat="false" ht="15" hidden="false" customHeight="true" outlineLevel="0" collapsed="false">
      <c r="A16" s="38" t="n">
        <v>15</v>
      </c>
      <c r="B16" s="39"/>
      <c r="C16" s="40" t="s">
        <v>295</v>
      </c>
      <c r="D16" s="38" t="s">
        <v>56</v>
      </c>
      <c r="E16" s="40" t="s">
        <v>296</v>
      </c>
      <c r="F16" s="38" t="str">
        <f aca="false">IF(COUNTIFS('DSA Problem Tracker'!$C:$C,C16,'DSA Problem Tracker'!$E:$E,"Solved")&gt;0,"Solved","")</f>
        <v/>
      </c>
      <c r="G16" s="38" t="str">
        <f aca="true">IF(F16="Solved",IF(COUNTIFS('DSA Problem Tracker'!$C:$C,C16,'DSA Problem Tracker'!$E:$E,"Solved")&gt;0,INDEX('DSA Problem Tracker'!$F:$F,MATCH(C16,'DSA Problem Tracker'!$C:$C,0)),TODAY()),"")</f>
        <v/>
      </c>
      <c r="H16" s="41"/>
      <c r="I16" s="38"/>
    </row>
    <row r="17" customFormat="false" ht="15" hidden="false" customHeight="true" outlineLevel="0" collapsed="false">
      <c r="A17" s="38" t="n">
        <v>16</v>
      </c>
      <c r="B17" s="39"/>
      <c r="C17" s="40" t="s">
        <v>145</v>
      </c>
      <c r="D17" s="38" t="s">
        <v>56</v>
      </c>
      <c r="E17" s="40" t="s">
        <v>297</v>
      </c>
      <c r="F17" s="38" t="str">
        <f aca="false">IF(COUNTIFS('DSA Problem Tracker'!$C:$C,C17,'DSA Problem Tracker'!$E:$E,"Solved")&gt;0,"Solved","")</f>
        <v/>
      </c>
      <c r="G17" s="38" t="str">
        <f aca="true">IF(F17="Solved",IF(COUNTIFS('DSA Problem Tracker'!$C:$C,C17,'DSA Problem Tracker'!$E:$E,"Solved")&gt;0,INDEX('DSA Problem Tracker'!$F:$F,MATCH(C17,'DSA Problem Tracker'!$C:$C,0)),TODAY()),"")</f>
        <v/>
      </c>
      <c r="H17" s="41"/>
      <c r="I17" s="38"/>
    </row>
    <row r="18" customFormat="false" ht="15" hidden="false" customHeight="true" outlineLevel="0" collapsed="false">
      <c r="A18" s="38" t="n">
        <v>17</v>
      </c>
      <c r="B18" s="39"/>
      <c r="C18" s="40" t="s">
        <v>298</v>
      </c>
      <c r="D18" s="38" t="s">
        <v>56</v>
      </c>
      <c r="E18" s="40" t="s">
        <v>299</v>
      </c>
      <c r="F18" s="38" t="str">
        <f aca="false">IF(COUNTIFS('DSA Problem Tracker'!$C:$C,C18,'DSA Problem Tracker'!$E:$E,"Solved")&gt;0,"Solved","")</f>
        <v/>
      </c>
      <c r="G18" s="38" t="str">
        <f aca="true">IF(F18="Solved",IF(COUNTIFS('DSA Problem Tracker'!$C:$C,C18,'DSA Problem Tracker'!$E:$E,"Solved")&gt;0,INDEX('DSA Problem Tracker'!$F:$F,MATCH(C18,'DSA Problem Tracker'!$C:$C,0)),TODAY()),"")</f>
        <v/>
      </c>
      <c r="H18" s="41"/>
      <c r="I18" s="38"/>
    </row>
    <row r="19" customFormat="false" ht="15" hidden="false" customHeight="true" outlineLevel="0" collapsed="false">
      <c r="A19" s="38" t="n">
        <v>18</v>
      </c>
      <c r="B19" s="39"/>
      <c r="C19" s="40" t="s">
        <v>300</v>
      </c>
      <c r="D19" s="38" t="s">
        <v>56</v>
      </c>
      <c r="E19" s="40" t="s">
        <v>301</v>
      </c>
      <c r="F19" s="38" t="str">
        <f aca="false">IF(COUNTIFS('DSA Problem Tracker'!$C:$C,C19,'DSA Problem Tracker'!$E:$E,"Solved")&gt;0,"Solved","")</f>
        <v/>
      </c>
      <c r="G19" s="38" t="str">
        <f aca="true">IF(F19="Solved",IF(COUNTIFS('DSA Problem Tracker'!$C:$C,C19,'DSA Problem Tracker'!$E:$E,"Solved")&gt;0,INDEX('DSA Problem Tracker'!$F:$F,MATCH(C19,'DSA Problem Tracker'!$C:$C,0)),TODAY()),"")</f>
        <v/>
      </c>
      <c r="H19" s="41"/>
      <c r="I19" s="38"/>
    </row>
    <row r="20" customFormat="false" ht="15" hidden="false" customHeight="true" outlineLevel="0" collapsed="false">
      <c r="A20" s="38" t="n">
        <v>19</v>
      </c>
      <c r="B20" s="39"/>
      <c r="C20" s="40" t="s">
        <v>302</v>
      </c>
      <c r="D20" s="38" t="s">
        <v>56</v>
      </c>
      <c r="E20" s="40" t="s">
        <v>303</v>
      </c>
      <c r="F20" s="38" t="str">
        <f aca="false">IF(COUNTIFS('DSA Problem Tracker'!$C:$C,C20,'DSA Problem Tracker'!$E:$E,"Solved")&gt;0,"Solved","")</f>
        <v/>
      </c>
      <c r="G20" s="38" t="str">
        <f aca="true">IF(F20="Solved",IF(COUNTIFS('DSA Problem Tracker'!$C:$C,C20,'DSA Problem Tracker'!$E:$E,"Solved")&gt;0,INDEX('DSA Problem Tracker'!$F:$F,MATCH(C20,'DSA Problem Tracker'!$C:$C,0)),TODAY()),"")</f>
        <v/>
      </c>
      <c r="H20" s="41"/>
      <c r="I20" s="38"/>
    </row>
    <row r="21" customFormat="false" ht="15" hidden="false" customHeight="true" outlineLevel="0" collapsed="false">
      <c r="A21" s="38" t="n">
        <v>20</v>
      </c>
      <c r="B21" s="39"/>
      <c r="C21" s="40" t="s">
        <v>304</v>
      </c>
      <c r="D21" s="38" t="s">
        <v>80</v>
      </c>
      <c r="E21" s="40" t="s">
        <v>301</v>
      </c>
      <c r="F21" s="38" t="str">
        <f aca="false">IF(COUNTIFS('DSA Problem Tracker'!$C:$C,C21,'DSA Problem Tracker'!$E:$E,"Solved")&gt;0,"Solved","")</f>
        <v/>
      </c>
      <c r="G21" s="38" t="str">
        <f aca="true">IF(F21="Solved",IF(COUNTIFS('DSA Problem Tracker'!$C:$C,C21,'DSA Problem Tracker'!$E:$E,"Solved")&gt;0,INDEX('DSA Problem Tracker'!$F:$F,MATCH(C21,'DSA Problem Tracker'!$C:$C,0)),TODAY()),"")</f>
        <v/>
      </c>
      <c r="H21" s="41"/>
      <c r="I21" s="38"/>
    </row>
    <row r="22" customFormat="false" ht="15" hidden="false" customHeight="true" outlineLevel="0" collapsed="false">
      <c r="A22" s="38" t="n">
        <v>21</v>
      </c>
      <c r="B22" s="39" t="s">
        <v>305</v>
      </c>
      <c r="C22" s="40" t="s">
        <v>102</v>
      </c>
      <c r="D22" s="38" t="s">
        <v>60</v>
      </c>
      <c r="E22" s="40" t="s">
        <v>299</v>
      </c>
      <c r="F22" s="38" t="str">
        <f aca="false">IF(COUNTIFS('DSA Problem Tracker'!$C:$C,C22,'DSA Problem Tracker'!$E:$E,"Solved")&gt;0,"Solved","")</f>
        <v/>
      </c>
      <c r="G22" s="38" t="str">
        <f aca="true">IF(F22="Solved",IF(COUNTIFS('DSA Problem Tracker'!$C:$C,C22,'DSA Problem Tracker'!$E:$E,"Solved")&gt;0,INDEX('DSA Problem Tracker'!$F:$F,MATCH(C22,'DSA Problem Tracker'!$C:$C,0)),TODAY()),"")</f>
        <v/>
      </c>
      <c r="H22" s="41"/>
      <c r="I22" s="38"/>
    </row>
    <row r="23" customFormat="false" ht="15" hidden="false" customHeight="true" outlineLevel="0" collapsed="false">
      <c r="A23" s="38" t="n">
        <v>22</v>
      </c>
      <c r="B23" s="39"/>
      <c r="C23" s="40" t="s">
        <v>306</v>
      </c>
      <c r="D23" s="38" t="s">
        <v>60</v>
      </c>
      <c r="E23" s="40" t="s">
        <v>307</v>
      </c>
      <c r="F23" s="38" t="str">
        <f aca="false">IF(COUNTIFS('DSA Problem Tracker'!$C:$C,C23,'DSA Problem Tracker'!$E:$E,"Solved")&gt;0,"Solved","")</f>
        <v/>
      </c>
      <c r="G23" s="38" t="str">
        <f aca="true">IF(F23="Solved",IF(COUNTIFS('DSA Problem Tracker'!$C:$C,C23,'DSA Problem Tracker'!$E:$E,"Solved")&gt;0,INDEX('DSA Problem Tracker'!$F:$F,MATCH(C23,'DSA Problem Tracker'!$C:$C,0)),TODAY()),"")</f>
        <v/>
      </c>
      <c r="H23" s="41"/>
      <c r="I23" s="38"/>
    </row>
    <row r="24" customFormat="false" ht="15" hidden="false" customHeight="true" outlineLevel="0" collapsed="false">
      <c r="A24" s="38" t="n">
        <v>23</v>
      </c>
      <c r="B24" s="39"/>
      <c r="C24" s="40" t="s">
        <v>106</v>
      </c>
      <c r="D24" s="38" t="s">
        <v>56</v>
      </c>
      <c r="E24" s="40" t="s">
        <v>308</v>
      </c>
      <c r="F24" s="38" t="str">
        <f aca="false">IF(COUNTIFS('DSA Problem Tracker'!$C:$C,C24,'DSA Problem Tracker'!$E:$E,"Solved")&gt;0,"Solved","")</f>
        <v/>
      </c>
      <c r="G24" s="38" t="str">
        <f aca="true">IF(F24="Solved",IF(COUNTIFS('DSA Problem Tracker'!$C:$C,C24,'DSA Problem Tracker'!$E:$E,"Solved")&gt;0,INDEX('DSA Problem Tracker'!$F:$F,MATCH(C24,'DSA Problem Tracker'!$C:$C,0)),TODAY()),"")</f>
        <v/>
      </c>
      <c r="H24" s="41"/>
      <c r="I24" s="38"/>
    </row>
    <row r="25" customFormat="false" ht="15" hidden="false" customHeight="true" outlineLevel="0" collapsed="false">
      <c r="A25" s="38" t="n">
        <v>24</v>
      </c>
      <c r="B25" s="39"/>
      <c r="C25" s="40" t="s">
        <v>273</v>
      </c>
      <c r="D25" s="38" t="s">
        <v>56</v>
      </c>
      <c r="E25" s="40" t="s">
        <v>283</v>
      </c>
      <c r="F25" s="38" t="str">
        <f aca="false">IF(COUNTIFS('DSA Problem Tracker'!$C:$C,C25,'DSA Problem Tracker'!$E:$E,"Solved")&gt;0,"Solved","")</f>
        <v/>
      </c>
      <c r="G25" s="38" t="str">
        <f aca="true">IF(F25="Solved",IF(COUNTIFS('DSA Problem Tracker'!$C:$C,C25,'DSA Problem Tracker'!$E:$E,"Solved")&gt;0,INDEX('DSA Problem Tracker'!$F:$F,MATCH(C25,'DSA Problem Tracker'!$C:$C,0)),TODAY()),"")</f>
        <v/>
      </c>
      <c r="H25" s="41"/>
      <c r="I25" s="38"/>
    </row>
    <row r="26" customFormat="false" ht="15" hidden="false" customHeight="true" outlineLevel="0" collapsed="false">
      <c r="A26" s="38" t="n">
        <v>25</v>
      </c>
      <c r="B26" s="39"/>
      <c r="C26" s="40" t="s">
        <v>128</v>
      </c>
      <c r="D26" s="38" t="s">
        <v>56</v>
      </c>
      <c r="E26" s="40" t="s">
        <v>121</v>
      </c>
      <c r="F26" s="38" t="str">
        <f aca="false">IF(COUNTIFS('DSA Problem Tracker'!$C:$C,C26,'DSA Problem Tracker'!$E:$E,"Solved")&gt;0,"Solved","")</f>
        <v/>
      </c>
      <c r="G26" s="38" t="str">
        <f aca="true">IF(F26="Solved",IF(COUNTIFS('DSA Problem Tracker'!$C:$C,C26,'DSA Problem Tracker'!$E:$E,"Solved")&gt;0,INDEX('DSA Problem Tracker'!$F:$F,MATCH(C26,'DSA Problem Tracker'!$C:$C,0)),TODAY()),"")</f>
        <v/>
      </c>
      <c r="H26" s="41"/>
      <c r="I26" s="38"/>
    </row>
    <row r="27" customFormat="false" ht="15" hidden="false" customHeight="true" outlineLevel="0" collapsed="false">
      <c r="A27" s="38" t="n">
        <v>26</v>
      </c>
      <c r="B27" s="39"/>
      <c r="C27" s="40" t="s">
        <v>309</v>
      </c>
      <c r="D27" s="38" t="s">
        <v>56</v>
      </c>
      <c r="E27" s="40" t="s">
        <v>310</v>
      </c>
      <c r="F27" s="38" t="str">
        <f aca="false">IF(COUNTIFS('DSA Problem Tracker'!$C:$C,C27,'DSA Problem Tracker'!$E:$E,"Solved")&gt;0,"Solved","")</f>
        <v/>
      </c>
      <c r="G27" s="38" t="str">
        <f aca="true">IF(F27="Solved",IF(COUNTIFS('DSA Problem Tracker'!$C:$C,C27,'DSA Problem Tracker'!$E:$E,"Solved")&gt;0,INDEX('DSA Problem Tracker'!$F:$F,MATCH(C27,'DSA Problem Tracker'!$C:$C,0)),TODAY()),"")</f>
        <v/>
      </c>
      <c r="H27" s="41"/>
      <c r="I27" s="38"/>
    </row>
    <row r="28" customFormat="false" ht="15" hidden="false" customHeight="true" outlineLevel="0" collapsed="false">
      <c r="A28" s="38" t="n">
        <v>27</v>
      </c>
      <c r="B28" s="39"/>
      <c r="C28" s="40" t="s">
        <v>311</v>
      </c>
      <c r="D28" s="38" t="s">
        <v>56</v>
      </c>
      <c r="E28" s="40" t="s">
        <v>296</v>
      </c>
      <c r="F28" s="38" t="str">
        <f aca="false">IF(COUNTIFS('DSA Problem Tracker'!$C:$C,C28,'DSA Problem Tracker'!$E:$E,"Solved")&gt;0,"Solved","")</f>
        <v/>
      </c>
      <c r="G28" s="38" t="str">
        <f aca="true">IF(F28="Solved",IF(COUNTIFS('DSA Problem Tracker'!$C:$C,C28,'DSA Problem Tracker'!$E:$E,"Solved")&gt;0,INDEX('DSA Problem Tracker'!$F:$F,MATCH(C28,'DSA Problem Tracker'!$C:$C,0)),TODAY()),"")</f>
        <v/>
      </c>
      <c r="H28" s="41"/>
      <c r="I28" s="38"/>
    </row>
    <row r="29" customFormat="false" ht="15" hidden="false" customHeight="true" outlineLevel="0" collapsed="false">
      <c r="A29" s="38" t="n">
        <v>28</v>
      </c>
      <c r="B29" s="39"/>
      <c r="C29" s="40" t="s">
        <v>312</v>
      </c>
      <c r="D29" s="38" t="s">
        <v>80</v>
      </c>
      <c r="E29" s="40" t="s">
        <v>291</v>
      </c>
      <c r="F29" s="38" t="str">
        <f aca="false">IF(COUNTIFS('DSA Problem Tracker'!$C:$C,C29,'DSA Problem Tracker'!$E:$E,"Solved")&gt;0,"Solved","")</f>
        <v/>
      </c>
      <c r="G29" s="38" t="str">
        <f aca="true">IF(F29="Solved",IF(COUNTIFS('DSA Problem Tracker'!$C:$C,C29,'DSA Problem Tracker'!$E:$E,"Solved")&gt;0,INDEX('DSA Problem Tracker'!$F:$F,MATCH(C29,'DSA Problem Tracker'!$C:$C,0)),TODAY()),"")</f>
        <v/>
      </c>
      <c r="H29" s="41"/>
      <c r="I29" s="38"/>
    </row>
    <row r="30" customFormat="false" ht="15" hidden="false" customHeight="true" outlineLevel="0" collapsed="false">
      <c r="A30" s="38" t="n">
        <v>29</v>
      </c>
      <c r="B30" s="39"/>
      <c r="C30" s="40" t="s">
        <v>251</v>
      </c>
      <c r="D30" s="38" t="s">
        <v>56</v>
      </c>
      <c r="E30" s="40" t="s">
        <v>313</v>
      </c>
      <c r="F30" s="38" t="str">
        <f aca="false">IF(COUNTIFS('DSA Problem Tracker'!$C:$C,C30,'DSA Problem Tracker'!$E:$E,"Solved")&gt;0,"Solved","")</f>
        <v/>
      </c>
      <c r="G30" s="38" t="str">
        <f aca="true">IF(F30="Solved",IF(COUNTIFS('DSA Problem Tracker'!$C:$C,C30,'DSA Problem Tracker'!$E:$E,"Solved")&gt;0,INDEX('DSA Problem Tracker'!$F:$F,MATCH(C30,'DSA Problem Tracker'!$C:$C,0)),TODAY()),"")</f>
        <v/>
      </c>
      <c r="H30" s="41"/>
      <c r="I30" s="38"/>
    </row>
    <row r="31" customFormat="false" ht="15" hidden="false" customHeight="true" outlineLevel="0" collapsed="false">
      <c r="A31" s="38" t="n">
        <v>30</v>
      </c>
      <c r="B31" s="39"/>
      <c r="C31" s="40" t="s">
        <v>314</v>
      </c>
      <c r="D31" s="38" t="s">
        <v>56</v>
      </c>
      <c r="E31" s="40" t="s">
        <v>287</v>
      </c>
      <c r="F31" s="38" t="str">
        <f aca="false">IF(COUNTIFS('DSA Problem Tracker'!$C:$C,C31,'DSA Problem Tracker'!$E:$E,"Solved")&gt;0,"Solved","")</f>
        <v/>
      </c>
      <c r="G31" s="38" t="str">
        <f aca="true">IF(F31="Solved",IF(COUNTIFS('DSA Problem Tracker'!$C:$C,C31,'DSA Problem Tracker'!$E:$E,"Solved")&gt;0,INDEX('DSA Problem Tracker'!$F:$F,MATCH(C31,'DSA Problem Tracker'!$C:$C,0)),TODAY()),"")</f>
        <v/>
      </c>
      <c r="H31" s="41"/>
      <c r="I31" s="38"/>
    </row>
    <row r="32" customFormat="false" ht="15" hidden="false" customHeight="true" outlineLevel="0" collapsed="false">
      <c r="A32" s="38" t="n">
        <v>31</v>
      </c>
      <c r="B32" s="39" t="s">
        <v>315</v>
      </c>
      <c r="C32" s="40" t="s">
        <v>316</v>
      </c>
      <c r="D32" s="38" t="s">
        <v>60</v>
      </c>
      <c r="E32" s="40" t="s">
        <v>89</v>
      </c>
      <c r="F32" s="38" t="str">
        <f aca="false">IF(COUNTIFS('DSA Problem Tracker'!$C:$C,C32,'DSA Problem Tracker'!$E:$E,"Solved")&gt;0,"Solved","")</f>
        <v/>
      </c>
      <c r="G32" s="38" t="str">
        <f aca="true">IF(F32="Solved",IF(COUNTIFS('DSA Problem Tracker'!$C:$C,C32,'DSA Problem Tracker'!$E:$E,"Solved")&gt;0,INDEX('DSA Problem Tracker'!$F:$F,MATCH(C32,'DSA Problem Tracker'!$C:$C,0)),TODAY()),"")</f>
        <v/>
      </c>
      <c r="H32" s="41"/>
      <c r="I32" s="38"/>
    </row>
    <row r="33" customFormat="false" ht="15" hidden="false" customHeight="true" outlineLevel="0" collapsed="false">
      <c r="A33" s="38" t="n">
        <v>32</v>
      </c>
      <c r="B33" s="39"/>
      <c r="C33" s="40" t="s">
        <v>317</v>
      </c>
      <c r="D33" s="38" t="s">
        <v>56</v>
      </c>
      <c r="E33" s="40" t="s">
        <v>287</v>
      </c>
      <c r="F33" s="38" t="str">
        <f aca="false">IF(COUNTIFS('DSA Problem Tracker'!$C:$C,C33,'DSA Problem Tracker'!$E:$E,"Solved")&gt;0,"Solved","")</f>
        <v/>
      </c>
      <c r="G33" s="38" t="str">
        <f aca="true">IF(F33="Solved",IF(COUNTIFS('DSA Problem Tracker'!$C:$C,C33,'DSA Problem Tracker'!$E:$E,"Solved")&gt;0,INDEX('DSA Problem Tracker'!$F:$F,MATCH(C33,'DSA Problem Tracker'!$C:$C,0)),TODAY()),"")</f>
        <v/>
      </c>
      <c r="H33" s="41"/>
      <c r="I33" s="38"/>
    </row>
    <row r="34" customFormat="false" ht="15" hidden="false" customHeight="true" outlineLevel="0" collapsed="false">
      <c r="A34" s="38" t="n">
        <v>33</v>
      </c>
      <c r="B34" s="39"/>
      <c r="C34" s="40" t="s">
        <v>318</v>
      </c>
      <c r="D34" s="38" t="s">
        <v>56</v>
      </c>
      <c r="E34" s="40" t="s">
        <v>67</v>
      </c>
      <c r="F34" s="38" t="str">
        <f aca="false">IF(COUNTIFS('DSA Problem Tracker'!$C:$C,C34,'DSA Problem Tracker'!$E:$E,"Solved")&gt;0,"Solved","")</f>
        <v/>
      </c>
      <c r="G34" s="38" t="str">
        <f aca="true">IF(F34="Solved",IF(COUNTIFS('DSA Problem Tracker'!$C:$C,C34,'DSA Problem Tracker'!$E:$E,"Solved")&gt;0,INDEX('DSA Problem Tracker'!$F:$F,MATCH(C34,'DSA Problem Tracker'!$C:$C,0)),TODAY()),"")</f>
        <v/>
      </c>
      <c r="H34" s="41"/>
      <c r="I34" s="38"/>
    </row>
    <row r="35" customFormat="false" ht="15" hidden="false" customHeight="true" outlineLevel="0" collapsed="false">
      <c r="A35" s="38" t="n">
        <v>34</v>
      </c>
      <c r="B35" s="39"/>
      <c r="C35" s="40" t="s">
        <v>62</v>
      </c>
      <c r="D35" s="38" t="s">
        <v>56</v>
      </c>
      <c r="E35" s="40" t="s">
        <v>282</v>
      </c>
      <c r="F35" s="38" t="str">
        <f aca="false">IF(COUNTIFS('DSA Problem Tracker'!$C:$C,C35,'DSA Problem Tracker'!$E:$E,"Solved")&gt;0,"Solved","")</f>
        <v/>
      </c>
      <c r="G35" s="38" t="str">
        <f aca="true">IF(F35="Solved",IF(COUNTIFS('DSA Problem Tracker'!$C:$C,C35,'DSA Problem Tracker'!$E:$E,"Solved")&gt;0,INDEX('DSA Problem Tracker'!$F:$F,MATCH(C35,'DSA Problem Tracker'!$C:$C,0)),TODAY()),"")</f>
        <v/>
      </c>
      <c r="H35" s="41"/>
      <c r="I35" s="38"/>
    </row>
    <row r="36" customFormat="false" ht="15" hidden="false" customHeight="true" outlineLevel="0" collapsed="false">
      <c r="A36" s="38" t="n">
        <v>35</v>
      </c>
      <c r="B36" s="39"/>
      <c r="C36" s="40" t="s">
        <v>319</v>
      </c>
      <c r="D36" s="38" t="s">
        <v>80</v>
      </c>
      <c r="E36" s="40" t="s">
        <v>121</v>
      </c>
      <c r="F36" s="38" t="str">
        <f aca="false">IF(COUNTIFS('DSA Problem Tracker'!$C:$C,C36,'DSA Problem Tracker'!$E:$E,"Solved")&gt;0,"Solved","")</f>
        <v/>
      </c>
      <c r="G36" s="38" t="str">
        <f aca="true">IF(F36="Solved",IF(COUNTIFS('DSA Problem Tracker'!$C:$C,C36,'DSA Problem Tracker'!$E:$E,"Solved")&gt;0,INDEX('DSA Problem Tracker'!$F:$F,MATCH(C36,'DSA Problem Tracker'!$C:$C,0)),TODAY()),"")</f>
        <v/>
      </c>
      <c r="H36" s="41"/>
      <c r="I36" s="38"/>
    </row>
    <row r="37" customFormat="false" ht="15" hidden="false" customHeight="true" outlineLevel="0" collapsed="false">
      <c r="A37" s="38" t="n">
        <v>36</v>
      </c>
      <c r="B37" s="39"/>
      <c r="C37" s="40" t="s">
        <v>320</v>
      </c>
      <c r="D37" s="38" t="s">
        <v>56</v>
      </c>
      <c r="E37" s="40" t="s">
        <v>285</v>
      </c>
      <c r="F37" s="38" t="str">
        <f aca="false">IF(COUNTIFS('DSA Problem Tracker'!$C:$C,C37,'DSA Problem Tracker'!$E:$E,"Solved")&gt;0,"Solved","")</f>
        <v/>
      </c>
      <c r="G37" s="38" t="str">
        <f aca="true">IF(F37="Solved",IF(COUNTIFS('DSA Problem Tracker'!$C:$C,C37,'DSA Problem Tracker'!$E:$E,"Solved")&gt;0,INDEX('DSA Problem Tracker'!$F:$F,MATCH(C37,'DSA Problem Tracker'!$C:$C,0)),TODAY()),"")</f>
        <v/>
      </c>
      <c r="H37" s="41"/>
      <c r="I37" s="38"/>
    </row>
    <row r="38" customFormat="false" ht="15" hidden="false" customHeight="true" outlineLevel="0" collapsed="false">
      <c r="A38" s="38" t="n">
        <v>37</v>
      </c>
      <c r="B38" s="39"/>
      <c r="C38" s="40" t="s">
        <v>321</v>
      </c>
      <c r="D38" s="38" t="s">
        <v>60</v>
      </c>
      <c r="E38" s="40" t="s">
        <v>294</v>
      </c>
      <c r="F38" s="38" t="str">
        <f aca="false">IF(COUNTIFS('DSA Problem Tracker'!$C:$C,C38,'DSA Problem Tracker'!$E:$E,"Solved")&gt;0,"Solved","")</f>
        <v/>
      </c>
      <c r="G38" s="38" t="str">
        <f aca="true">IF(F38="Solved",IF(COUNTIFS('DSA Problem Tracker'!$C:$C,C38,'DSA Problem Tracker'!$E:$E,"Solved")&gt;0,INDEX('DSA Problem Tracker'!$F:$F,MATCH(C38,'DSA Problem Tracker'!$C:$C,0)),TODAY()),"")</f>
        <v/>
      </c>
      <c r="H38" s="41"/>
      <c r="I38" s="38"/>
    </row>
    <row r="39" customFormat="false" ht="15" hidden="false" customHeight="true" outlineLevel="0" collapsed="false">
      <c r="A39" s="38" t="n">
        <v>38</v>
      </c>
      <c r="B39" s="39"/>
      <c r="C39" s="40" t="s">
        <v>322</v>
      </c>
      <c r="D39" s="38" t="s">
        <v>56</v>
      </c>
      <c r="E39" s="40" t="s">
        <v>291</v>
      </c>
      <c r="F39" s="38" t="str">
        <f aca="false">IF(COUNTIFS('DSA Problem Tracker'!$C:$C,C39,'DSA Problem Tracker'!$E:$E,"Solved")&gt;0,"Solved","")</f>
        <v/>
      </c>
      <c r="G39" s="38" t="str">
        <f aca="true">IF(F39="Solved",IF(COUNTIFS('DSA Problem Tracker'!$C:$C,C39,'DSA Problem Tracker'!$E:$E,"Solved")&gt;0,INDEX('DSA Problem Tracker'!$F:$F,MATCH(C39,'DSA Problem Tracker'!$C:$C,0)),TODAY()),"")</f>
        <v/>
      </c>
      <c r="H39" s="41"/>
      <c r="I39" s="38"/>
    </row>
    <row r="40" customFormat="false" ht="15" hidden="false" customHeight="true" outlineLevel="0" collapsed="false">
      <c r="A40" s="38" t="n">
        <v>39</v>
      </c>
      <c r="B40" s="39"/>
      <c r="C40" s="40" t="s">
        <v>323</v>
      </c>
      <c r="D40" s="38" t="s">
        <v>56</v>
      </c>
      <c r="E40" s="40" t="s">
        <v>291</v>
      </c>
      <c r="F40" s="38" t="str">
        <f aca="false">IF(COUNTIFS('DSA Problem Tracker'!$C:$C,C40,'DSA Problem Tracker'!$E:$E,"Solved")&gt;0,"Solved","")</f>
        <v/>
      </c>
      <c r="G40" s="38" t="str">
        <f aca="true">IF(F40="Solved",IF(COUNTIFS('DSA Problem Tracker'!$C:$C,C40,'DSA Problem Tracker'!$E:$E,"Solved")&gt;0,INDEX('DSA Problem Tracker'!$F:$F,MATCH(C40,'DSA Problem Tracker'!$C:$C,0)),TODAY()),"")</f>
        <v/>
      </c>
      <c r="H40" s="41"/>
      <c r="I40" s="38"/>
    </row>
    <row r="41" customFormat="false" ht="15" hidden="false" customHeight="true" outlineLevel="0" collapsed="false">
      <c r="A41" s="38" t="n">
        <v>40</v>
      </c>
      <c r="B41" s="39"/>
      <c r="C41" s="40" t="s">
        <v>324</v>
      </c>
      <c r="D41" s="38" t="s">
        <v>56</v>
      </c>
      <c r="E41" s="40" t="s">
        <v>325</v>
      </c>
      <c r="F41" s="38" t="str">
        <f aca="false">IF(COUNTIFS('DSA Problem Tracker'!$C:$C,C41,'DSA Problem Tracker'!$E:$E,"Solved")&gt;0,"Solved","")</f>
        <v/>
      </c>
      <c r="G41" s="38" t="str">
        <f aca="true">IF(F41="Solved",IF(COUNTIFS('DSA Problem Tracker'!$C:$C,C41,'DSA Problem Tracker'!$E:$E,"Solved")&gt;0,INDEX('DSA Problem Tracker'!$F:$F,MATCH(C41,'DSA Problem Tracker'!$C:$C,0)),TODAY()),"")</f>
        <v/>
      </c>
      <c r="H41" s="41"/>
      <c r="I41" s="38"/>
    </row>
    <row r="42" customFormat="false" ht="15" hidden="false" customHeight="true" outlineLevel="0" collapsed="false">
      <c r="A42" s="38" t="n">
        <v>41</v>
      </c>
      <c r="B42" s="39" t="s">
        <v>326</v>
      </c>
      <c r="C42" s="40" t="s">
        <v>293</v>
      </c>
      <c r="D42" s="38" t="s">
        <v>60</v>
      </c>
      <c r="E42" s="40" t="s">
        <v>294</v>
      </c>
      <c r="F42" s="38" t="str">
        <f aca="false">IF(COUNTIFS('DSA Problem Tracker'!$C:$C,C42,'DSA Problem Tracker'!$E:$E,"Solved")&gt;0,"Solved","")</f>
        <v/>
      </c>
      <c r="G42" s="38" t="str">
        <f aca="true">IF(F42="Solved",IF(COUNTIFS('DSA Problem Tracker'!$C:$C,C42,'DSA Problem Tracker'!$E:$E,"Solved")&gt;0,INDEX('DSA Problem Tracker'!$F:$F,MATCH(C42,'DSA Problem Tracker'!$C:$C,0)),TODAY()),"")</f>
        <v/>
      </c>
      <c r="H42" s="41"/>
      <c r="I42" s="38"/>
    </row>
    <row r="43" customFormat="false" ht="15" hidden="false" customHeight="true" outlineLevel="0" collapsed="false">
      <c r="A43" s="38" t="n">
        <v>42</v>
      </c>
      <c r="B43" s="39"/>
      <c r="C43" s="40" t="s">
        <v>59</v>
      </c>
      <c r="D43" s="38" t="s">
        <v>60</v>
      </c>
      <c r="E43" s="40" t="s">
        <v>299</v>
      </c>
      <c r="F43" s="38" t="str">
        <f aca="false">IF(COUNTIFS('DSA Problem Tracker'!$C:$C,C43,'DSA Problem Tracker'!$E:$E,"Solved")&gt;0,"Solved","")</f>
        <v/>
      </c>
      <c r="G43" s="38" t="str">
        <f aca="true">IF(F43="Solved",IF(COUNTIFS('DSA Problem Tracker'!$C:$C,C43,'DSA Problem Tracker'!$E:$E,"Solved")&gt;0,INDEX('DSA Problem Tracker'!$F:$F,MATCH(C43,'DSA Problem Tracker'!$C:$C,0)),TODAY()),"")</f>
        <v/>
      </c>
      <c r="H43" s="41"/>
      <c r="I43" s="38"/>
    </row>
    <row r="44" customFormat="false" ht="15" hidden="false" customHeight="true" outlineLevel="0" collapsed="false">
      <c r="A44" s="38" t="n">
        <v>43</v>
      </c>
      <c r="B44" s="39"/>
      <c r="C44" s="40" t="s">
        <v>288</v>
      </c>
      <c r="D44" s="38" t="s">
        <v>56</v>
      </c>
      <c r="E44" s="40" t="s">
        <v>289</v>
      </c>
      <c r="F44" s="38" t="str">
        <f aca="false">IF(COUNTIFS('DSA Problem Tracker'!$C:$C,C44,'DSA Problem Tracker'!$E:$E,"Solved")&gt;0,"Solved","")</f>
        <v/>
      </c>
      <c r="G44" s="38" t="str">
        <f aca="true">IF(F44="Solved",IF(COUNTIFS('DSA Problem Tracker'!$C:$C,C44,'DSA Problem Tracker'!$E:$E,"Solved")&gt;0,INDEX('DSA Problem Tracker'!$F:$F,MATCH(C44,'DSA Problem Tracker'!$C:$C,0)),TODAY()),"")</f>
        <v/>
      </c>
      <c r="H44" s="41"/>
      <c r="I44" s="38"/>
    </row>
    <row r="45" customFormat="false" ht="15" hidden="false" customHeight="true" outlineLevel="0" collapsed="false">
      <c r="A45" s="38" t="n">
        <v>44</v>
      </c>
      <c r="B45" s="39"/>
      <c r="C45" s="40" t="s">
        <v>146</v>
      </c>
      <c r="D45" s="38" t="s">
        <v>56</v>
      </c>
      <c r="E45" s="40" t="s">
        <v>297</v>
      </c>
      <c r="F45" s="38" t="str">
        <f aca="false">IF(COUNTIFS('DSA Problem Tracker'!$C:$C,C45,'DSA Problem Tracker'!$E:$E,"Solved")&gt;0,"Solved","")</f>
        <v/>
      </c>
      <c r="G45" s="38" t="str">
        <f aca="true">IF(F45="Solved",IF(COUNTIFS('DSA Problem Tracker'!$C:$C,C45,'DSA Problem Tracker'!$E:$E,"Solved")&gt;0,INDEX('DSA Problem Tracker'!$F:$F,MATCH(C45,'DSA Problem Tracker'!$C:$C,0)),TODAY()),"")</f>
        <v/>
      </c>
      <c r="H45" s="41"/>
      <c r="I45" s="38"/>
    </row>
    <row r="46" customFormat="false" ht="15" hidden="false" customHeight="true" outlineLevel="0" collapsed="false">
      <c r="A46" s="38" t="n">
        <v>45</v>
      </c>
      <c r="B46" s="39"/>
      <c r="C46" s="40" t="s">
        <v>327</v>
      </c>
      <c r="D46" s="38" t="s">
        <v>56</v>
      </c>
      <c r="E46" s="40" t="s">
        <v>283</v>
      </c>
      <c r="F46" s="38" t="str">
        <f aca="false">IF(COUNTIFS('DSA Problem Tracker'!$C:$C,C46,'DSA Problem Tracker'!$E:$E,"Solved")&gt;0,"Solved","")</f>
        <v/>
      </c>
      <c r="G46" s="38" t="str">
        <f aca="true">IF(F46="Solved",IF(COUNTIFS('DSA Problem Tracker'!$C:$C,C46,'DSA Problem Tracker'!$E:$E,"Solved")&gt;0,INDEX('DSA Problem Tracker'!$F:$F,MATCH(C46,'DSA Problem Tracker'!$C:$C,0)),TODAY()),"")</f>
        <v/>
      </c>
      <c r="H46" s="41"/>
      <c r="I46" s="38"/>
    </row>
    <row r="47" customFormat="false" ht="15" hidden="false" customHeight="true" outlineLevel="0" collapsed="false">
      <c r="A47" s="38" t="n">
        <v>46</v>
      </c>
      <c r="B47" s="39"/>
      <c r="C47" s="40" t="s">
        <v>328</v>
      </c>
      <c r="D47" s="38" t="s">
        <v>56</v>
      </c>
      <c r="E47" s="40" t="s">
        <v>329</v>
      </c>
      <c r="F47" s="38" t="str">
        <f aca="false">IF(COUNTIFS('DSA Problem Tracker'!$C:$C,C47,'DSA Problem Tracker'!$E:$E,"Solved")&gt;0,"Solved","")</f>
        <v/>
      </c>
      <c r="G47" s="38" t="str">
        <f aca="true">IF(F47="Solved",IF(COUNTIFS('DSA Problem Tracker'!$C:$C,C47,'DSA Problem Tracker'!$E:$E,"Solved")&gt;0,INDEX('DSA Problem Tracker'!$F:$F,MATCH(C47,'DSA Problem Tracker'!$C:$C,0)),TODAY()),"")</f>
        <v/>
      </c>
      <c r="H47" s="41"/>
      <c r="I47" s="38"/>
    </row>
    <row r="48" customFormat="false" ht="15" hidden="false" customHeight="true" outlineLevel="0" collapsed="false">
      <c r="A48" s="38" t="n">
        <v>47</v>
      </c>
      <c r="B48" s="39"/>
      <c r="C48" s="40" t="s">
        <v>166</v>
      </c>
      <c r="D48" s="38" t="s">
        <v>56</v>
      </c>
      <c r="E48" s="40" t="s">
        <v>284</v>
      </c>
      <c r="F48" s="38" t="str">
        <f aca="false">IF(COUNTIFS('DSA Problem Tracker'!$C:$C,C48,'DSA Problem Tracker'!$E:$E,"Solved")&gt;0,"Solved","")</f>
        <v/>
      </c>
      <c r="G48" s="38" t="str">
        <f aca="true">IF(F48="Solved",IF(COUNTIFS('DSA Problem Tracker'!$C:$C,C48,'DSA Problem Tracker'!$E:$E,"Solved")&gt;0,INDEX('DSA Problem Tracker'!$F:$F,MATCH(C48,'DSA Problem Tracker'!$C:$C,0)),TODAY()),"")</f>
        <v/>
      </c>
      <c r="H48" s="41"/>
      <c r="I48" s="38"/>
    </row>
    <row r="49" customFormat="false" ht="15" hidden="false" customHeight="true" outlineLevel="0" collapsed="false">
      <c r="A49" s="38" t="n">
        <v>48</v>
      </c>
      <c r="B49" s="39"/>
      <c r="C49" s="40" t="s">
        <v>330</v>
      </c>
      <c r="D49" s="38" t="s">
        <v>56</v>
      </c>
      <c r="E49" s="40" t="s">
        <v>296</v>
      </c>
      <c r="F49" s="38" t="str">
        <f aca="false">IF(COUNTIFS('DSA Problem Tracker'!$C:$C,C49,'DSA Problem Tracker'!$E:$E,"Solved")&gt;0,"Solved","")</f>
        <v/>
      </c>
      <c r="G49" s="38" t="str">
        <f aca="true">IF(F49="Solved",IF(COUNTIFS('DSA Problem Tracker'!$C:$C,C49,'DSA Problem Tracker'!$E:$E,"Solved")&gt;0,INDEX('DSA Problem Tracker'!$F:$F,MATCH(C49,'DSA Problem Tracker'!$C:$C,0)),TODAY()),"")</f>
        <v/>
      </c>
      <c r="H49" s="41"/>
      <c r="I49" s="38"/>
    </row>
    <row r="50" customFormat="false" ht="15" hidden="false" customHeight="true" outlineLevel="0" collapsed="false">
      <c r="A50" s="38" t="n">
        <v>49</v>
      </c>
      <c r="B50" s="39"/>
      <c r="C50" s="40" t="s">
        <v>79</v>
      </c>
      <c r="D50" s="38" t="s">
        <v>80</v>
      </c>
      <c r="E50" s="40" t="s">
        <v>331</v>
      </c>
      <c r="F50" s="38" t="str">
        <f aca="false">IF(COUNTIFS('DSA Problem Tracker'!$C:$C,C50,'DSA Problem Tracker'!$E:$E,"Solved")&gt;0,"Solved","")</f>
        <v/>
      </c>
      <c r="G50" s="38" t="str">
        <f aca="true">IF(F50="Solved",IF(COUNTIFS('DSA Problem Tracker'!$C:$C,C50,'DSA Problem Tracker'!$E:$E,"Solved")&gt;0,INDEX('DSA Problem Tracker'!$F:$F,MATCH(C50,'DSA Problem Tracker'!$C:$C,0)),TODAY()),"")</f>
        <v/>
      </c>
      <c r="H50" s="41"/>
      <c r="I50" s="38"/>
    </row>
    <row r="51" customFormat="false" ht="15" hidden="false" customHeight="true" outlineLevel="0" collapsed="false">
      <c r="A51" s="38" t="n">
        <v>50</v>
      </c>
      <c r="B51" s="39"/>
      <c r="C51" s="40" t="s">
        <v>332</v>
      </c>
      <c r="D51" s="38" t="s">
        <v>80</v>
      </c>
      <c r="E51" s="40" t="s">
        <v>333</v>
      </c>
      <c r="F51" s="38" t="str">
        <f aca="false">IF(COUNTIFS('DSA Problem Tracker'!$C:$C,C51,'DSA Problem Tracker'!$E:$E,"Solved")&gt;0,"Solved","")</f>
        <v/>
      </c>
      <c r="G51" s="38" t="str">
        <f aca="true">IF(F51="Solved",IF(COUNTIFS('DSA Problem Tracker'!$C:$C,C51,'DSA Problem Tracker'!$E:$E,"Solved")&gt;0,INDEX('DSA Problem Tracker'!$F:$F,MATCH(C51,'DSA Problem Tracker'!$C:$C,0)),TODAY()),"")</f>
        <v/>
      </c>
      <c r="H51" s="41"/>
      <c r="I51" s="38"/>
    </row>
    <row r="52" customFormat="false" ht="15" hidden="false" customHeight="true" outlineLevel="0" collapsed="false">
      <c r="A52" s="38" t="n">
        <v>51</v>
      </c>
      <c r="B52" s="39" t="s">
        <v>334</v>
      </c>
      <c r="C52" s="40" t="s">
        <v>229</v>
      </c>
      <c r="D52" s="38" t="s">
        <v>56</v>
      </c>
      <c r="E52" s="40" t="s">
        <v>296</v>
      </c>
      <c r="F52" s="38" t="str">
        <f aca="false">IF(COUNTIFS('DSA Problem Tracker'!$C:$C,C52,'DSA Problem Tracker'!$E:$E,"Solved")&gt;0,"Solved","")</f>
        <v/>
      </c>
      <c r="G52" s="38" t="str">
        <f aca="true">IF(F52="Solved",IF(COUNTIFS('DSA Problem Tracker'!$C:$C,C52,'DSA Problem Tracker'!$E:$E,"Solved")&gt;0,INDEX('DSA Problem Tracker'!$F:$F,MATCH(C52,'DSA Problem Tracker'!$C:$C,0)),TODAY()),"")</f>
        <v/>
      </c>
      <c r="H52" s="41"/>
      <c r="I52" s="38"/>
    </row>
    <row r="53" customFormat="false" ht="15" hidden="false" customHeight="true" outlineLevel="0" collapsed="false">
      <c r="A53" s="38" t="n">
        <v>52</v>
      </c>
      <c r="B53" s="39"/>
      <c r="C53" s="40" t="s">
        <v>130</v>
      </c>
      <c r="D53" s="38" t="s">
        <v>56</v>
      </c>
      <c r="E53" s="40" t="s">
        <v>285</v>
      </c>
      <c r="F53" s="38" t="str">
        <f aca="false">IF(COUNTIFS('DSA Problem Tracker'!$C:$C,C53,'DSA Problem Tracker'!$E:$E,"Solved")&gt;0,"Solved","")</f>
        <v/>
      </c>
      <c r="G53" s="38" t="str">
        <f aca="true">IF(F53="Solved",IF(COUNTIFS('DSA Problem Tracker'!$C:$C,C53,'DSA Problem Tracker'!$E:$E,"Solved")&gt;0,INDEX('DSA Problem Tracker'!$F:$F,MATCH(C53,'DSA Problem Tracker'!$C:$C,0)),TODAY()),"")</f>
        <v/>
      </c>
      <c r="H53" s="41"/>
      <c r="I53" s="38"/>
    </row>
    <row r="54" customFormat="false" ht="15" hidden="false" customHeight="true" outlineLevel="0" collapsed="false">
      <c r="A54" s="38" t="n">
        <v>53</v>
      </c>
      <c r="B54" s="39"/>
      <c r="C54" s="40" t="s">
        <v>335</v>
      </c>
      <c r="D54" s="38" t="s">
        <v>56</v>
      </c>
      <c r="E54" s="40" t="s">
        <v>297</v>
      </c>
      <c r="F54" s="38" t="str">
        <f aca="false">IF(COUNTIFS('DSA Problem Tracker'!$C:$C,C54,'DSA Problem Tracker'!$E:$E,"Solved")&gt;0,"Solved","")</f>
        <v/>
      </c>
      <c r="G54" s="38" t="str">
        <f aca="true">IF(F54="Solved",IF(COUNTIFS('DSA Problem Tracker'!$C:$C,C54,'DSA Problem Tracker'!$E:$E,"Solved")&gt;0,INDEX('DSA Problem Tracker'!$F:$F,MATCH(C54,'DSA Problem Tracker'!$C:$C,0)),TODAY()),"")</f>
        <v/>
      </c>
      <c r="H54" s="41"/>
      <c r="I54" s="38"/>
    </row>
    <row r="55" customFormat="false" ht="15" hidden="false" customHeight="true" outlineLevel="0" collapsed="false">
      <c r="A55" s="38" t="n">
        <v>54</v>
      </c>
      <c r="B55" s="39"/>
      <c r="C55" s="40" t="s">
        <v>336</v>
      </c>
      <c r="D55" s="38" t="s">
        <v>80</v>
      </c>
      <c r="E55" s="40" t="s">
        <v>283</v>
      </c>
      <c r="F55" s="38" t="str">
        <f aca="false">IF(COUNTIFS('DSA Problem Tracker'!$C:$C,C55,'DSA Problem Tracker'!$E:$E,"Solved")&gt;0,"Solved","")</f>
        <v/>
      </c>
      <c r="G55" s="38" t="str">
        <f aca="true">IF(F55="Solved",IF(COUNTIFS('DSA Problem Tracker'!$C:$C,C55,'DSA Problem Tracker'!$E:$E,"Solved")&gt;0,INDEX('DSA Problem Tracker'!$F:$F,MATCH(C55,'DSA Problem Tracker'!$C:$C,0)),TODAY()),"")</f>
        <v/>
      </c>
      <c r="H55" s="41"/>
      <c r="I55" s="38"/>
    </row>
    <row r="56" customFormat="false" ht="15" hidden="false" customHeight="true" outlineLevel="0" collapsed="false">
      <c r="A56" s="38" t="n">
        <v>55</v>
      </c>
      <c r="B56" s="39"/>
      <c r="C56" s="40" t="s">
        <v>155</v>
      </c>
      <c r="D56" s="38" t="s">
        <v>80</v>
      </c>
      <c r="E56" s="40" t="s">
        <v>154</v>
      </c>
      <c r="F56" s="38" t="str">
        <f aca="false">IF(COUNTIFS('DSA Problem Tracker'!$C:$C,C56,'DSA Problem Tracker'!$E:$E,"Solved")&gt;0,"Solved","")</f>
        <v/>
      </c>
      <c r="G56" s="38" t="str">
        <f aca="true">IF(F56="Solved",IF(COUNTIFS('DSA Problem Tracker'!$C:$C,C56,'DSA Problem Tracker'!$E:$E,"Solved")&gt;0,INDEX('DSA Problem Tracker'!$F:$F,MATCH(C56,'DSA Problem Tracker'!$C:$C,0)),TODAY()),"")</f>
        <v/>
      </c>
      <c r="H56" s="41"/>
      <c r="I56" s="38"/>
    </row>
    <row r="57" customFormat="false" ht="15" hidden="false" customHeight="true" outlineLevel="0" collapsed="false">
      <c r="A57" s="38" t="n">
        <v>56</v>
      </c>
      <c r="B57" s="39"/>
      <c r="C57" s="40" t="s">
        <v>266</v>
      </c>
      <c r="D57" s="38" t="s">
        <v>56</v>
      </c>
      <c r="E57" s="40" t="s">
        <v>265</v>
      </c>
      <c r="F57" s="38" t="str">
        <f aca="false">IF(COUNTIFS('DSA Problem Tracker'!$C:$C,C57,'DSA Problem Tracker'!$E:$E,"Solved")&gt;0,"Solved","")</f>
        <v/>
      </c>
      <c r="G57" s="38" t="str">
        <f aca="true">IF(F57="Solved",IF(COUNTIFS('DSA Problem Tracker'!$C:$C,C57,'DSA Problem Tracker'!$E:$E,"Solved")&gt;0,INDEX('DSA Problem Tracker'!$F:$F,MATCH(C57,'DSA Problem Tracker'!$C:$C,0)),TODAY()),"")</f>
        <v/>
      </c>
      <c r="H57" s="41"/>
      <c r="I57" s="38"/>
    </row>
    <row r="58" customFormat="false" ht="15" hidden="false" customHeight="true" outlineLevel="0" collapsed="false">
      <c r="A58" s="38" t="n">
        <v>57</v>
      </c>
      <c r="B58" s="39"/>
      <c r="C58" s="40" t="s">
        <v>337</v>
      </c>
      <c r="D58" s="38" t="s">
        <v>80</v>
      </c>
      <c r="E58" s="40" t="s">
        <v>296</v>
      </c>
      <c r="F58" s="38" t="str">
        <f aca="false">IF(COUNTIFS('DSA Problem Tracker'!$C:$C,C58,'DSA Problem Tracker'!$E:$E,"Solved")&gt;0,"Solved","")</f>
        <v/>
      </c>
      <c r="G58" s="38" t="str">
        <f aca="true">IF(F58="Solved",IF(COUNTIFS('DSA Problem Tracker'!$C:$C,C58,'DSA Problem Tracker'!$E:$E,"Solved")&gt;0,INDEX('DSA Problem Tracker'!$F:$F,MATCH(C58,'DSA Problem Tracker'!$C:$C,0)),TODAY()),"")</f>
        <v/>
      </c>
      <c r="H58" s="41"/>
      <c r="I58" s="38"/>
    </row>
    <row r="59" customFormat="false" ht="15" hidden="false" customHeight="true" outlineLevel="0" collapsed="false">
      <c r="A59" s="38" t="n">
        <v>58</v>
      </c>
      <c r="B59" s="39"/>
      <c r="C59" s="40" t="s">
        <v>250</v>
      </c>
      <c r="D59" s="38" t="s">
        <v>56</v>
      </c>
      <c r="E59" s="40" t="s">
        <v>313</v>
      </c>
      <c r="F59" s="38" t="str">
        <f aca="false">IF(COUNTIFS('DSA Problem Tracker'!$C:$C,C59,'DSA Problem Tracker'!$E:$E,"Solved")&gt;0,"Solved","")</f>
        <v/>
      </c>
      <c r="G59" s="38" t="str">
        <f aca="true">IF(F59="Solved",IF(COUNTIFS('DSA Problem Tracker'!$C:$C,C59,'DSA Problem Tracker'!$E:$E,"Solved")&gt;0,INDEX('DSA Problem Tracker'!$F:$F,MATCH(C59,'DSA Problem Tracker'!$C:$C,0)),TODAY()),"")</f>
        <v/>
      </c>
      <c r="H59" s="41"/>
      <c r="I59" s="38"/>
    </row>
    <row r="60" customFormat="false" ht="15" hidden="false" customHeight="true" outlineLevel="0" collapsed="false">
      <c r="A60" s="38" t="n">
        <v>59</v>
      </c>
      <c r="B60" s="39"/>
      <c r="C60" s="40" t="s">
        <v>338</v>
      </c>
      <c r="D60" s="38" t="s">
        <v>56</v>
      </c>
      <c r="E60" s="40" t="s">
        <v>294</v>
      </c>
      <c r="F60" s="38" t="str">
        <f aca="false">IF(COUNTIFS('DSA Problem Tracker'!$C:$C,C60,'DSA Problem Tracker'!$E:$E,"Solved")&gt;0,"Solved","")</f>
        <v/>
      </c>
      <c r="G60" s="38" t="str">
        <f aca="true">IF(F60="Solved",IF(COUNTIFS('DSA Problem Tracker'!$C:$C,C60,'DSA Problem Tracker'!$E:$E,"Solved")&gt;0,INDEX('DSA Problem Tracker'!$F:$F,MATCH(C60,'DSA Problem Tracker'!$C:$C,0)),TODAY()),"")</f>
        <v/>
      </c>
      <c r="H60" s="41"/>
      <c r="I60" s="38"/>
    </row>
    <row r="61" customFormat="false" ht="15" hidden="false" customHeight="true" outlineLevel="0" collapsed="false">
      <c r="A61" s="38" t="n">
        <v>60</v>
      </c>
      <c r="B61" s="39"/>
      <c r="C61" s="40" t="s">
        <v>339</v>
      </c>
      <c r="D61" s="38" t="s">
        <v>80</v>
      </c>
      <c r="E61" s="40" t="s">
        <v>296</v>
      </c>
      <c r="F61" s="38" t="str">
        <f aca="false">IF(COUNTIFS('DSA Problem Tracker'!$C:$C,C61,'DSA Problem Tracker'!$E:$E,"Solved")&gt;0,"Solved","")</f>
        <v/>
      </c>
      <c r="G61" s="38" t="str">
        <f aca="true">IF(F61="Solved",IF(COUNTIFS('DSA Problem Tracker'!$C:$C,C61,'DSA Problem Tracker'!$E:$E,"Solved")&gt;0,INDEX('DSA Problem Tracker'!$F:$F,MATCH(C61,'DSA Problem Tracker'!$C:$C,0)),TODAY()),"")</f>
        <v/>
      </c>
      <c r="H61" s="41"/>
      <c r="I61" s="38"/>
    </row>
    <row r="62" customFormat="false" ht="15" hidden="false" customHeight="true" outlineLevel="0" collapsed="false">
      <c r="A62" s="38" t="n">
        <v>61</v>
      </c>
      <c r="B62" s="39" t="s">
        <v>340</v>
      </c>
      <c r="C62" s="40" t="s">
        <v>62</v>
      </c>
      <c r="D62" s="38" t="s">
        <v>56</v>
      </c>
      <c r="E62" s="40" t="s">
        <v>282</v>
      </c>
      <c r="F62" s="38" t="str">
        <f aca="false">IF(COUNTIFS('DSA Problem Tracker'!$C:$C,C62,'DSA Problem Tracker'!$E:$E,"Solved")&gt;0,"Solved","")</f>
        <v/>
      </c>
      <c r="G62" s="38" t="str">
        <f aca="true">IF(F62="Solved",IF(COUNTIFS('DSA Problem Tracker'!$C:$C,C62,'DSA Problem Tracker'!$E:$E,"Solved")&gt;0,INDEX('DSA Problem Tracker'!$F:$F,MATCH(C62,'DSA Problem Tracker'!$C:$C,0)),TODAY()),"")</f>
        <v/>
      </c>
      <c r="H62" s="41"/>
      <c r="I62" s="38"/>
    </row>
    <row r="63" customFormat="false" ht="15" hidden="false" customHeight="true" outlineLevel="0" collapsed="false">
      <c r="A63" s="38" t="n">
        <v>62</v>
      </c>
      <c r="B63" s="39"/>
      <c r="C63" s="40" t="s">
        <v>341</v>
      </c>
      <c r="D63" s="38" t="s">
        <v>56</v>
      </c>
      <c r="E63" s="40" t="s">
        <v>342</v>
      </c>
      <c r="F63" s="38" t="str">
        <f aca="false">IF(COUNTIFS('DSA Problem Tracker'!$C:$C,C63,'DSA Problem Tracker'!$E:$E,"Solved")&gt;0,"Solved","")</f>
        <v/>
      </c>
      <c r="G63" s="38" t="str">
        <f aca="true">IF(F63="Solved",IF(COUNTIFS('DSA Problem Tracker'!$C:$C,C63,'DSA Problem Tracker'!$E:$E,"Solved")&gt;0,INDEX('DSA Problem Tracker'!$F:$F,MATCH(C63,'DSA Problem Tracker'!$C:$C,0)),TODAY()),"")</f>
        <v/>
      </c>
      <c r="H63" s="41"/>
      <c r="I63" s="38"/>
    </row>
    <row r="64" customFormat="false" ht="15" hidden="false" customHeight="true" outlineLevel="0" collapsed="false">
      <c r="A64" s="38" t="n">
        <v>63</v>
      </c>
      <c r="B64" s="39"/>
      <c r="C64" s="40" t="s">
        <v>343</v>
      </c>
      <c r="D64" s="38" t="s">
        <v>56</v>
      </c>
      <c r="E64" s="40" t="s">
        <v>287</v>
      </c>
      <c r="F64" s="38" t="str">
        <f aca="false">IF(COUNTIFS('DSA Problem Tracker'!$C:$C,C64,'DSA Problem Tracker'!$E:$E,"Solved")&gt;0,"Solved","")</f>
        <v/>
      </c>
      <c r="G64" s="38" t="str">
        <f aca="true">IF(F64="Solved",IF(COUNTIFS('DSA Problem Tracker'!$C:$C,C64,'DSA Problem Tracker'!$E:$E,"Solved")&gt;0,INDEX('DSA Problem Tracker'!$F:$F,MATCH(C64,'DSA Problem Tracker'!$C:$C,0)),TODAY()),"")</f>
        <v/>
      </c>
      <c r="H64" s="41"/>
      <c r="I64" s="38"/>
    </row>
    <row r="65" customFormat="false" ht="15" hidden="false" customHeight="true" outlineLevel="0" collapsed="false">
      <c r="A65" s="38" t="n">
        <v>64</v>
      </c>
      <c r="B65" s="39"/>
      <c r="C65" s="40" t="s">
        <v>344</v>
      </c>
      <c r="D65" s="38" t="s">
        <v>56</v>
      </c>
      <c r="E65" s="40" t="s">
        <v>287</v>
      </c>
      <c r="F65" s="38" t="str">
        <f aca="false">IF(COUNTIFS('DSA Problem Tracker'!$C:$C,C65,'DSA Problem Tracker'!$E:$E,"Solved")&gt;0,"Solved","")</f>
        <v/>
      </c>
      <c r="G65" s="38" t="str">
        <f aca="true">IF(F65="Solved",IF(COUNTIFS('DSA Problem Tracker'!$C:$C,C65,'DSA Problem Tracker'!$E:$E,"Solved")&gt;0,INDEX('DSA Problem Tracker'!$F:$F,MATCH(C65,'DSA Problem Tracker'!$C:$C,0)),TODAY()),"")</f>
        <v/>
      </c>
      <c r="H65" s="41"/>
      <c r="I65" s="38"/>
    </row>
    <row r="66" customFormat="false" ht="15" hidden="false" customHeight="true" outlineLevel="0" collapsed="false">
      <c r="A66" s="38" t="n">
        <v>65</v>
      </c>
      <c r="B66" s="39"/>
      <c r="C66" s="40" t="s">
        <v>345</v>
      </c>
      <c r="D66" s="38" t="s">
        <v>80</v>
      </c>
      <c r="E66" s="40" t="s">
        <v>325</v>
      </c>
      <c r="F66" s="38" t="str">
        <f aca="false">IF(COUNTIFS('DSA Problem Tracker'!$C:$C,C66,'DSA Problem Tracker'!$E:$E,"Solved")&gt;0,"Solved","")</f>
        <v/>
      </c>
      <c r="G66" s="38" t="str">
        <f aca="true">IF(F66="Solved",IF(COUNTIFS('DSA Problem Tracker'!$C:$C,C66,'DSA Problem Tracker'!$E:$E,"Solved")&gt;0,INDEX('DSA Problem Tracker'!$F:$F,MATCH(C66,'DSA Problem Tracker'!$C:$C,0)),TODAY()),"")</f>
        <v/>
      </c>
      <c r="H66" s="41"/>
      <c r="I66" s="38"/>
    </row>
    <row r="67" customFormat="false" ht="15" hidden="false" customHeight="true" outlineLevel="0" collapsed="false">
      <c r="A67" s="38" t="n">
        <v>66</v>
      </c>
      <c r="B67" s="39"/>
      <c r="C67" s="40" t="s">
        <v>88</v>
      </c>
      <c r="D67" s="38" t="s">
        <v>80</v>
      </c>
      <c r="E67" s="40" t="s">
        <v>280</v>
      </c>
      <c r="F67" s="38" t="str">
        <f aca="false">IF(COUNTIFS('DSA Problem Tracker'!$C:$C,C67,'DSA Problem Tracker'!$E:$E,"Solved")&gt;0,"Solved","")</f>
        <v/>
      </c>
      <c r="G67" s="38" t="str">
        <f aca="true">IF(F67="Solved",IF(COUNTIFS('DSA Problem Tracker'!$C:$C,C67,'DSA Problem Tracker'!$E:$E,"Solved")&gt;0,INDEX('DSA Problem Tracker'!$F:$F,MATCH(C67,'DSA Problem Tracker'!$C:$C,0)),TODAY()),"")</f>
        <v/>
      </c>
      <c r="H67" s="41"/>
      <c r="I67" s="38"/>
    </row>
    <row r="68" customFormat="false" ht="15" hidden="false" customHeight="true" outlineLevel="0" collapsed="false">
      <c r="A68" s="38" t="n">
        <v>67</v>
      </c>
      <c r="B68" s="39"/>
      <c r="C68" s="40" t="s">
        <v>127</v>
      </c>
      <c r="D68" s="38" t="s">
        <v>56</v>
      </c>
      <c r="E68" s="40" t="s">
        <v>121</v>
      </c>
      <c r="F68" s="38" t="str">
        <f aca="false">IF(COUNTIFS('DSA Problem Tracker'!$C:$C,C68,'DSA Problem Tracker'!$E:$E,"Solved")&gt;0,"Solved","")</f>
        <v/>
      </c>
      <c r="G68" s="38" t="str">
        <f aca="true">IF(F68="Solved",IF(COUNTIFS('DSA Problem Tracker'!$C:$C,C68,'DSA Problem Tracker'!$E:$E,"Solved")&gt;0,INDEX('DSA Problem Tracker'!$F:$F,MATCH(C68,'DSA Problem Tracker'!$C:$C,0)),TODAY()),"")</f>
        <v/>
      </c>
      <c r="H68" s="41"/>
      <c r="I68" s="38"/>
    </row>
    <row r="69" customFormat="false" ht="15" hidden="false" customHeight="true" outlineLevel="0" collapsed="false">
      <c r="A69" s="38" t="n">
        <v>68</v>
      </c>
      <c r="B69" s="39"/>
      <c r="C69" s="40" t="s">
        <v>346</v>
      </c>
      <c r="D69" s="38" t="s">
        <v>56</v>
      </c>
      <c r="E69" s="40" t="s">
        <v>294</v>
      </c>
      <c r="F69" s="38" t="str">
        <f aca="false">IF(COUNTIFS('DSA Problem Tracker'!$C:$C,C69,'DSA Problem Tracker'!$E:$E,"Solved")&gt;0,"Solved","")</f>
        <v/>
      </c>
      <c r="G69" s="38" t="str">
        <f aca="true">IF(F69="Solved",IF(COUNTIFS('DSA Problem Tracker'!$C:$C,C69,'DSA Problem Tracker'!$E:$E,"Solved")&gt;0,INDEX('DSA Problem Tracker'!$F:$F,MATCH(C69,'DSA Problem Tracker'!$C:$C,0)),TODAY()),"")</f>
        <v/>
      </c>
      <c r="H69" s="41"/>
      <c r="I69" s="38"/>
    </row>
    <row r="70" customFormat="false" ht="15" hidden="false" customHeight="true" outlineLevel="0" collapsed="false">
      <c r="A70" s="38" t="n">
        <v>69</v>
      </c>
      <c r="B70" s="39"/>
      <c r="C70" s="40" t="s">
        <v>347</v>
      </c>
      <c r="D70" s="38" t="s">
        <v>56</v>
      </c>
      <c r="E70" s="40" t="s">
        <v>283</v>
      </c>
      <c r="F70" s="38" t="str">
        <f aca="false">IF(COUNTIFS('DSA Problem Tracker'!$C:$C,C70,'DSA Problem Tracker'!$E:$E,"Solved")&gt;0,"Solved","")</f>
        <v/>
      </c>
      <c r="G70" s="38" t="str">
        <f aca="true">IF(F70="Solved",IF(COUNTIFS('DSA Problem Tracker'!$C:$C,C70,'DSA Problem Tracker'!$E:$E,"Solved")&gt;0,INDEX('DSA Problem Tracker'!$F:$F,MATCH(C70,'DSA Problem Tracker'!$C:$C,0)),TODAY()),"")</f>
        <v/>
      </c>
      <c r="H70" s="41"/>
      <c r="I70" s="38"/>
    </row>
    <row r="71" customFormat="false" ht="15" hidden="false" customHeight="true" outlineLevel="0" collapsed="false">
      <c r="A71" s="38" t="n">
        <v>70</v>
      </c>
      <c r="B71" s="39"/>
      <c r="C71" s="40" t="s">
        <v>348</v>
      </c>
      <c r="D71" s="38" t="s">
        <v>80</v>
      </c>
      <c r="E71" s="40" t="s">
        <v>349</v>
      </c>
      <c r="F71" s="38" t="str">
        <f aca="false">IF(COUNTIFS('DSA Problem Tracker'!$C:$C,C71,'DSA Problem Tracker'!$E:$E,"Solved")&gt;0,"Solved","")</f>
        <v/>
      </c>
      <c r="G71" s="38" t="str">
        <f aca="true">IF(F71="Solved",IF(COUNTIFS('DSA Problem Tracker'!$C:$C,C71,'DSA Problem Tracker'!$E:$E,"Solved")&gt;0,INDEX('DSA Problem Tracker'!$F:$F,MATCH(C71,'DSA Problem Tracker'!$C:$C,0)),TODAY()),"")</f>
        <v/>
      </c>
      <c r="H71" s="41"/>
      <c r="I71" s="38"/>
    </row>
    <row r="72" customFormat="false" ht="15" hidden="false" customHeight="true" outlineLevel="0" collapsed="false">
      <c r="A72" s="38" t="n">
        <v>71</v>
      </c>
      <c r="B72" s="39" t="s">
        <v>350</v>
      </c>
      <c r="C72" s="40" t="s">
        <v>290</v>
      </c>
      <c r="D72" s="38" t="s">
        <v>60</v>
      </c>
      <c r="E72" s="40" t="s">
        <v>291</v>
      </c>
      <c r="F72" s="38" t="str">
        <f aca="false">IF(COUNTIFS('DSA Problem Tracker'!$C:$C,C72,'DSA Problem Tracker'!$E:$E,"Solved")&gt;0,"Solved","")</f>
        <v/>
      </c>
      <c r="G72" s="38" t="str">
        <f aca="true">IF(F72="Solved",IF(COUNTIFS('DSA Problem Tracker'!$C:$C,C72,'DSA Problem Tracker'!$E:$E,"Solved")&gt;0,INDEX('DSA Problem Tracker'!$F:$F,MATCH(C72,'DSA Problem Tracker'!$C:$C,0)),TODAY()),"")</f>
        <v/>
      </c>
      <c r="H72" s="41"/>
      <c r="I72" s="38"/>
    </row>
    <row r="73" customFormat="false" ht="15" hidden="false" customHeight="true" outlineLevel="0" collapsed="false">
      <c r="A73" s="38" t="n">
        <v>72</v>
      </c>
      <c r="B73" s="39"/>
      <c r="C73" s="40" t="s">
        <v>351</v>
      </c>
      <c r="D73" s="38" t="s">
        <v>56</v>
      </c>
      <c r="E73" s="40" t="s">
        <v>294</v>
      </c>
      <c r="F73" s="38" t="str">
        <f aca="false">IF(COUNTIFS('DSA Problem Tracker'!$C:$C,C73,'DSA Problem Tracker'!$E:$E,"Solved")&gt;0,"Solved","")</f>
        <v/>
      </c>
      <c r="G73" s="38" t="str">
        <f aca="true">IF(F73="Solved",IF(COUNTIFS('DSA Problem Tracker'!$C:$C,C73,'DSA Problem Tracker'!$E:$E,"Solved")&gt;0,INDEX('DSA Problem Tracker'!$F:$F,MATCH(C73,'DSA Problem Tracker'!$C:$C,0)),TODAY()),"")</f>
        <v/>
      </c>
      <c r="H73" s="41"/>
      <c r="I73" s="38"/>
    </row>
    <row r="74" customFormat="false" ht="15" hidden="false" customHeight="true" outlineLevel="0" collapsed="false">
      <c r="A74" s="38" t="n">
        <v>73</v>
      </c>
      <c r="B74" s="39"/>
      <c r="C74" s="40" t="s">
        <v>352</v>
      </c>
      <c r="D74" s="38" t="s">
        <v>56</v>
      </c>
      <c r="E74" s="40" t="s">
        <v>121</v>
      </c>
      <c r="F74" s="38" t="str">
        <f aca="false">IF(COUNTIFS('DSA Problem Tracker'!$C:$C,C74,'DSA Problem Tracker'!$E:$E,"Solved")&gt;0,"Solved","")</f>
        <v/>
      </c>
      <c r="G74" s="38" t="str">
        <f aca="true">IF(F74="Solved",IF(COUNTIFS('DSA Problem Tracker'!$C:$C,C74,'DSA Problem Tracker'!$E:$E,"Solved")&gt;0,INDEX('DSA Problem Tracker'!$F:$F,MATCH(C74,'DSA Problem Tracker'!$C:$C,0)),TODAY()),"")</f>
        <v/>
      </c>
      <c r="H74" s="41"/>
      <c r="I74" s="38"/>
    </row>
    <row r="75" customFormat="false" ht="15" hidden="false" customHeight="true" outlineLevel="0" collapsed="false">
      <c r="A75" s="38" t="n">
        <v>74</v>
      </c>
      <c r="B75" s="39"/>
      <c r="C75" s="40" t="s">
        <v>353</v>
      </c>
      <c r="D75" s="38" t="s">
        <v>80</v>
      </c>
      <c r="E75" s="40" t="s">
        <v>287</v>
      </c>
      <c r="F75" s="38" t="str">
        <f aca="false">IF(COUNTIFS('DSA Problem Tracker'!$C:$C,C75,'DSA Problem Tracker'!$E:$E,"Solved")&gt;0,"Solved","")</f>
        <v/>
      </c>
      <c r="G75" s="38" t="str">
        <f aca="true">IF(F75="Solved",IF(COUNTIFS('DSA Problem Tracker'!$C:$C,C75,'DSA Problem Tracker'!$E:$E,"Solved")&gt;0,INDEX('DSA Problem Tracker'!$F:$F,MATCH(C75,'DSA Problem Tracker'!$C:$C,0)),TODAY()),"")</f>
        <v/>
      </c>
      <c r="H75" s="41"/>
      <c r="I75" s="38"/>
    </row>
    <row r="76" customFormat="false" ht="15" hidden="false" customHeight="true" outlineLevel="0" collapsed="false">
      <c r="A76" s="38" t="n">
        <v>75</v>
      </c>
      <c r="B76" s="39"/>
      <c r="C76" s="40" t="s">
        <v>354</v>
      </c>
      <c r="D76" s="38" t="s">
        <v>80</v>
      </c>
      <c r="E76" s="40" t="s">
        <v>283</v>
      </c>
      <c r="F76" s="38" t="str">
        <f aca="false">IF(COUNTIFS('DSA Problem Tracker'!$C:$C,C76,'DSA Problem Tracker'!$E:$E,"Solved")&gt;0,"Solved","")</f>
        <v/>
      </c>
      <c r="G76" s="38" t="str">
        <f aca="true">IF(F76="Solved",IF(COUNTIFS('DSA Problem Tracker'!$C:$C,C76,'DSA Problem Tracker'!$E:$E,"Solved")&gt;0,INDEX('DSA Problem Tracker'!$F:$F,MATCH(C76,'DSA Problem Tracker'!$C:$C,0)),TODAY()),"")</f>
        <v/>
      </c>
      <c r="H76" s="41"/>
      <c r="I76" s="38"/>
    </row>
    <row r="77" customFormat="false" ht="15" hidden="false" customHeight="true" outlineLevel="0" collapsed="false">
      <c r="A77" s="38" t="n">
        <v>76</v>
      </c>
      <c r="B77" s="39"/>
      <c r="C77" s="40" t="s">
        <v>295</v>
      </c>
      <c r="D77" s="38" t="s">
        <v>56</v>
      </c>
      <c r="E77" s="40" t="s">
        <v>296</v>
      </c>
      <c r="F77" s="38" t="str">
        <f aca="false">IF(COUNTIFS('DSA Problem Tracker'!$C:$C,C77,'DSA Problem Tracker'!$E:$E,"Solved")&gt;0,"Solved","")</f>
        <v/>
      </c>
      <c r="G77" s="38" t="str">
        <f aca="true">IF(F77="Solved",IF(COUNTIFS('DSA Problem Tracker'!$C:$C,C77,'DSA Problem Tracker'!$E:$E,"Solved")&gt;0,INDEX('DSA Problem Tracker'!$F:$F,MATCH(C77,'DSA Problem Tracker'!$C:$C,0)),TODAY()),"")</f>
        <v/>
      </c>
      <c r="H77" s="41"/>
      <c r="I77" s="38"/>
    </row>
    <row r="78" customFormat="false" ht="15" hidden="false" customHeight="true" outlineLevel="0" collapsed="false">
      <c r="A78" s="38" t="n">
        <v>77</v>
      </c>
      <c r="B78" s="39"/>
      <c r="C78" s="40" t="s">
        <v>88</v>
      </c>
      <c r="D78" s="38" t="s">
        <v>80</v>
      </c>
      <c r="E78" s="40" t="s">
        <v>280</v>
      </c>
      <c r="F78" s="38" t="str">
        <f aca="false">IF(COUNTIFS('DSA Problem Tracker'!$C:$C,C78,'DSA Problem Tracker'!$E:$E,"Solved")&gt;0,"Solved","")</f>
        <v/>
      </c>
      <c r="G78" s="38" t="str">
        <f aca="true">IF(F78="Solved",IF(COUNTIFS('DSA Problem Tracker'!$C:$C,C78,'DSA Problem Tracker'!$E:$E,"Solved")&gt;0,INDEX('DSA Problem Tracker'!$F:$F,MATCH(C78,'DSA Problem Tracker'!$C:$C,0)),TODAY()),"")</f>
        <v/>
      </c>
      <c r="H78" s="41"/>
      <c r="I78" s="38"/>
    </row>
    <row r="79" customFormat="false" ht="15" hidden="false" customHeight="true" outlineLevel="0" collapsed="false">
      <c r="A79" s="38" t="n">
        <v>78</v>
      </c>
      <c r="B79" s="39"/>
      <c r="C79" s="40" t="s">
        <v>111</v>
      </c>
      <c r="D79" s="38" t="s">
        <v>56</v>
      </c>
      <c r="E79" s="40" t="s">
        <v>284</v>
      </c>
      <c r="F79" s="38" t="str">
        <f aca="false">IF(COUNTIFS('DSA Problem Tracker'!$C:$C,C79,'DSA Problem Tracker'!$E:$E,"Solved")&gt;0,"Solved","")</f>
        <v/>
      </c>
      <c r="G79" s="38" t="str">
        <f aca="true">IF(F79="Solved",IF(COUNTIFS('DSA Problem Tracker'!$C:$C,C79,'DSA Problem Tracker'!$E:$E,"Solved")&gt;0,INDEX('DSA Problem Tracker'!$F:$F,MATCH(C79,'DSA Problem Tracker'!$C:$C,0)),TODAY()),"")</f>
        <v/>
      </c>
      <c r="H79" s="41"/>
      <c r="I79" s="38"/>
    </row>
    <row r="80" customFormat="false" ht="15" hidden="false" customHeight="true" outlineLevel="0" collapsed="false">
      <c r="A80" s="38" t="n">
        <v>79</v>
      </c>
      <c r="B80" s="39"/>
      <c r="C80" s="40" t="s">
        <v>355</v>
      </c>
      <c r="D80" s="38" t="s">
        <v>56</v>
      </c>
      <c r="E80" s="40" t="s">
        <v>283</v>
      </c>
      <c r="F80" s="38" t="str">
        <f aca="false">IF(COUNTIFS('DSA Problem Tracker'!$C:$C,C80,'DSA Problem Tracker'!$E:$E,"Solved")&gt;0,"Solved","")</f>
        <v/>
      </c>
      <c r="G80" s="38" t="str">
        <f aca="true">IF(F80="Solved",IF(COUNTIFS('DSA Problem Tracker'!$C:$C,C80,'DSA Problem Tracker'!$E:$E,"Solved")&gt;0,INDEX('DSA Problem Tracker'!$F:$F,MATCH(C80,'DSA Problem Tracker'!$C:$C,0)),TODAY()),"")</f>
        <v/>
      </c>
      <c r="H80" s="41"/>
      <c r="I80" s="38"/>
    </row>
    <row r="81" customFormat="false" ht="15" hidden="false" customHeight="true" outlineLevel="0" collapsed="false">
      <c r="A81" s="38" t="n">
        <v>80</v>
      </c>
      <c r="B81" s="39"/>
      <c r="C81" s="40" t="s">
        <v>356</v>
      </c>
      <c r="D81" s="38" t="s">
        <v>56</v>
      </c>
      <c r="E81" s="40" t="s">
        <v>287</v>
      </c>
      <c r="F81" s="38" t="str">
        <f aca="false">IF(COUNTIFS('DSA Problem Tracker'!$C:$C,C81,'DSA Problem Tracker'!$E:$E,"Solved")&gt;0,"Solved","")</f>
        <v/>
      </c>
      <c r="G81" s="38" t="str">
        <f aca="true">IF(F81="Solved",IF(COUNTIFS('DSA Problem Tracker'!$C:$C,C81,'DSA Problem Tracker'!$E:$E,"Solved")&gt;0,INDEX('DSA Problem Tracker'!$F:$F,MATCH(C81,'DSA Problem Tracker'!$C:$C,0)),TODAY()),"")</f>
        <v/>
      </c>
      <c r="H81" s="41"/>
      <c r="I81" s="38"/>
    </row>
    <row r="82" customFormat="false" ht="15" hidden="false" customHeight="true" outlineLevel="0" collapsed="false">
      <c r="A82" s="38" t="n">
        <v>81</v>
      </c>
      <c r="B82" s="39" t="s">
        <v>357</v>
      </c>
      <c r="C82" s="40" t="s">
        <v>293</v>
      </c>
      <c r="D82" s="38" t="s">
        <v>60</v>
      </c>
      <c r="E82" s="40" t="s">
        <v>294</v>
      </c>
      <c r="F82" s="38" t="str">
        <f aca="false">IF(COUNTIFS('DSA Problem Tracker'!$C:$C,C82,'DSA Problem Tracker'!$E:$E,"Solved")&gt;0,"Solved","")</f>
        <v/>
      </c>
      <c r="G82" s="38" t="str">
        <f aca="true">IF(F82="Solved",IF(COUNTIFS('DSA Problem Tracker'!$C:$C,C82,'DSA Problem Tracker'!$E:$E,"Solved")&gt;0,INDEX('DSA Problem Tracker'!$F:$F,MATCH(C82,'DSA Problem Tracker'!$C:$C,0)),TODAY()),"")</f>
        <v/>
      </c>
      <c r="H82" s="41"/>
      <c r="I82" s="38"/>
    </row>
    <row r="83" customFormat="false" ht="15" hidden="false" customHeight="true" outlineLevel="0" collapsed="false">
      <c r="A83" s="38" t="n">
        <v>82</v>
      </c>
      <c r="B83" s="39"/>
      <c r="C83" s="40" t="s">
        <v>358</v>
      </c>
      <c r="D83" s="38" t="s">
        <v>60</v>
      </c>
      <c r="E83" s="40" t="s">
        <v>294</v>
      </c>
      <c r="F83" s="38" t="str">
        <f aca="false">IF(COUNTIFS('DSA Problem Tracker'!$C:$C,C83,'DSA Problem Tracker'!$E:$E,"Solved")&gt;0,"Solved","")</f>
        <v/>
      </c>
      <c r="G83" s="38" t="str">
        <f aca="true">IF(F83="Solved",IF(COUNTIFS('DSA Problem Tracker'!$C:$C,C83,'DSA Problem Tracker'!$E:$E,"Solved")&gt;0,INDEX('DSA Problem Tracker'!$F:$F,MATCH(C83,'DSA Problem Tracker'!$C:$C,0)),TODAY()),"")</f>
        <v/>
      </c>
      <c r="H83" s="41"/>
      <c r="I83" s="38"/>
    </row>
    <row r="84" customFormat="false" ht="15" hidden="false" customHeight="true" outlineLevel="0" collapsed="false">
      <c r="A84" s="38" t="n">
        <v>83</v>
      </c>
      <c r="B84" s="39"/>
      <c r="C84" s="40" t="s">
        <v>359</v>
      </c>
      <c r="D84" s="38" t="s">
        <v>60</v>
      </c>
      <c r="E84" s="40" t="s">
        <v>283</v>
      </c>
      <c r="F84" s="38" t="str">
        <f aca="false">IF(COUNTIFS('DSA Problem Tracker'!$C:$C,C84,'DSA Problem Tracker'!$E:$E,"Solved")&gt;0,"Solved","")</f>
        <v/>
      </c>
      <c r="G84" s="38" t="str">
        <f aca="true">IF(F84="Solved",IF(COUNTIFS('DSA Problem Tracker'!$C:$C,C84,'DSA Problem Tracker'!$E:$E,"Solved")&gt;0,INDEX('DSA Problem Tracker'!$F:$F,MATCH(C84,'DSA Problem Tracker'!$C:$C,0)),TODAY()),"")</f>
        <v/>
      </c>
      <c r="H84" s="41"/>
      <c r="I84" s="38"/>
    </row>
    <row r="85" customFormat="false" ht="15" hidden="false" customHeight="true" outlineLevel="0" collapsed="false">
      <c r="A85" s="38" t="n">
        <v>84</v>
      </c>
      <c r="B85" s="39"/>
      <c r="C85" s="40" t="s">
        <v>360</v>
      </c>
      <c r="D85" s="38" t="s">
        <v>56</v>
      </c>
      <c r="E85" s="40" t="s">
        <v>310</v>
      </c>
      <c r="F85" s="38" t="str">
        <f aca="false">IF(COUNTIFS('DSA Problem Tracker'!$C:$C,C85,'DSA Problem Tracker'!$E:$E,"Solved")&gt;0,"Solved","")</f>
        <v/>
      </c>
      <c r="G85" s="38" t="str">
        <f aca="true">IF(F85="Solved",IF(COUNTIFS('DSA Problem Tracker'!$C:$C,C85,'DSA Problem Tracker'!$E:$E,"Solved")&gt;0,INDEX('DSA Problem Tracker'!$F:$F,MATCH(C85,'DSA Problem Tracker'!$C:$C,0)),TODAY()),"")</f>
        <v/>
      </c>
      <c r="H85" s="41"/>
      <c r="I85" s="38"/>
    </row>
    <row r="86" customFormat="false" ht="15" hidden="false" customHeight="true" outlineLevel="0" collapsed="false">
      <c r="A86" s="38" t="n">
        <v>85</v>
      </c>
      <c r="B86" s="39"/>
      <c r="C86" s="40" t="s">
        <v>361</v>
      </c>
      <c r="D86" s="38" t="s">
        <v>56</v>
      </c>
      <c r="E86" s="40" t="s">
        <v>285</v>
      </c>
      <c r="F86" s="38" t="str">
        <f aca="false">IF(COUNTIFS('DSA Problem Tracker'!$C:$C,C86,'DSA Problem Tracker'!$E:$E,"Solved")&gt;0,"Solved","")</f>
        <v/>
      </c>
      <c r="G86" s="38" t="str">
        <f aca="true">IF(F86="Solved",IF(COUNTIFS('DSA Problem Tracker'!$C:$C,C86,'DSA Problem Tracker'!$E:$E,"Solved")&gt;0,INDEX('DSA Problem Tracker'!$F:$F,MATCH(C86,'DSA Problem Tracker'!$C:$C,0)),TODAY()),"")</f>
        <v/>
      </c>
      <c r="H86" s="41"/>
      <c r="I86" s="38"/>
    </row>
    <row r="87" customFormat="false" ht="15" hidden="false" customHeight="true" outlineLevel="0" collapsed="false">
      <c r="A87" s="38" t="n">
        <v>86</v>
      </c>
      <c r="B87" s="39"/>
      <c r="C87" s="40" t="s">
        <v>274</v>
      </c>
      <c r="D87" s="38" t="s">
        <v>56</v>
      </c>
      <c r="E87" s="40" t="s">
        <v>283</v>
      </c>
      <c r="F87" s="38" t="str">
        <f aca="false">IF(COUNTIFS('DSA Problem Tracker'!$C:$C,C87,'DSA Problem Tracker'!$E:$E,"Solved")&gt;0,"Solved","")</f>
        <v/>
      </c>
      <c r="G87" s="38" t="str">
        <f aca="true">IF(F87="Solved",IF(COUNTIFS('DSA Problem Tracker'!$C:$C,C87,'DSA Problem Tracker'!$E:$E,"Solved")&gt;0,INDEX('DSA Problem Tracker'!$F:$F,MATCH(C87,'DSA Problem Tracker'!$C:$C,0)),TODAY()),"")</f>
        <v/>
      </c>
      <c r="H87" s="41"/>
      <c r="I87" s="38"/>
    </row>
    <row r="88" customFormat="false" ht="15" hidden="false" customHeight="true" outlineLevel="0" collapsed="false">
      <c r="A88" s="38" t="n">
        <v>87</v>
      </c>
      <c r="B88" s="39"/>
      <c r="C88" s="40" t="s">
        <v>362</v>
      </c>
      <c r="D88" s="38" t="s">
        <v>56</v>
      </c>
      <c r="E88" s="40" t="s">
        <v>325</v>
      </c>
      <c r="F88" s="38" t="str">
        <f aca="false">IF(COUNTIFS('DSA Problem Tracker'!$C:$C,C88,'DSA Problem Tracker'!$E:$E,"Solved")&gt;0,"Solved","")</f>
        <v/>
      </c>
      <c r="G88" s="38" t="str">
        <f aca="true">IF(F88="Solved",IF(COUNTIFS('DSA Problem Tracker'!$C:$C,C88,'DSA Problem Tracker'!$E:$E,"Solved")&gt;0,INDEX('DSA Problem Tracker'!$F:$F,MATCH(C88,'DSA Problem Tracker'!$C:$C,0)),TODAY()),"")</f>
        <v/>
      </c>
      <c r="H88" s="41"/>
      <c r="I88" s="38"/>
    </row>
    <row r="89" customFormat="false" ht="15" hidden="false" customHeight="true" outlineLevel="0" collapsed="false">
      <c r="A89" s="38" t="n">
        <v>88</v>
      </c>
      <c r="B89" s="39"/>
      <c r="C89" s="40" t="s">
        <v>363</v>
      </c>
      <c r="D89" s="38" t="s">
        <v>56</v>
      </c>
      <c r="E89" s="40" t="s">
        <v>283</v>
      </c>
      <c r="F89" s="38" t="str">
        <f aca="false">IF(COUNTIFS('DSA Problem Tracker'!$C:$C,C89,'DSA Problem Tracker'!$E:$E,"Solved")&gt;0,"Solved","")</f>
        <v/>
      </c>
      <c r="G89" s="38" t="str">
        <f aca="true">IF(F89="Solved",IF(COUNTIFS('DSA Problem Tracker'!$C:$C,C89,'DSA Problem Tracker'!$E:$E,"Solved")&gt;0,INDEX('DSA Problem Tracker'!$F:$F,MATCH(C89,'DSA Problem Tracker'!$C:$C,0)),TODAY()),"")</f>
        <v/>
      </c>
      <c r="H89" s="41"/>
      <c r="I89" s="38"/>
    </row>
    <row r="90" customFormat="false" ht="15" hidden="false" customHeight="true" outlineLevel="0" collapsed="false">
      <c r="A90" s="38" t="n">
        <v>89</v>
      </c>
      <c r="B90" s="39"/>
      <c r="C90" s="40" t="s">
        <v>364</v>
      </c>
      <c r="D90" s="38" t="s">
        <v>56</v>
      </c>
      <c r="E90" s="40" t="s">
        <v>284</v>
      </c>
      <c r="F90" s="38" t="str">
        <f aca="false">IF(COUNTIFS('DSA Problem Tracker'!$C:$C,C90,'DSA Problem Tracker'!$E:$E,"Solved")&gt;0,"Solved","")</f>
        <v/>
      </c>
      <c r="G90" s="38" t="str">
        <f aca="true">IF(F90="Solved",IF(COUNTIFS('DSA Problem Tracker'!$C:$C,C90,'DSA Problem Tracker'!$E:$E,"Solved")&gt;0,INDEX('DSA Problem Tracker'!$F:$F,MATCH(C90,'DSA Problem Tracker'!$C:$C,0)),TODAY()),"")</f>
        <v/>
      </c>
      <c r="H90" s="41"/>
      <c r="I90" s="38"/>
    </row>
    <row r="91" customFormat="false" ht="15" hidden="false" customHeight="true" outlineLevel="0" collapsed="false">
      <c r="A91" s="38" t="n">
        <v>90</v>
      </c>
      <c r="B91" s="39"/>
      <c r="C91" s="40" t="s">
        <v>365</v>
      </c>
      <c r="D91" s="38" t="s">
        <v>56</v>
      </c>
      <c r="E91" s="40" t="s">
        <v>283</v>
      </c>
      <c r="F91" s="38" t="str">
        <f aca="false">IF(COUNTIFS('DSA Problem Tracker'!$C:$C,C91,'DSA Problem Tracker'!$E:$E,"Solved")&gt;0,"Solved","")</f>
        <v/>
      </c>
      <c r="G91" s="38" t="str">
        <f aca="true">IF(F91="Solved",IF(COUNTIFS('DSA Problem Tracker'!$C:$C,C91,'DSA Problem Tracker'!$E:$E,"Solved")&gt;0,INDEX('DSA Problem Tracker'!$F:$F,MATCH(C91,'DSA Problem Tracker'!$C:$C,0)),TODAY()),"")</f>
        <v/>
      </c>
      <c r="H91" s="41"/>
      <c r="I91" s="38"/>
    </row>
    <row r="92" customFormat="false" ht="15" hidden="false" customHeight="true" outlineLevel="0" collapsed="false">
      <c r="A92" s="38" t="n">
        <v>91</v>
      </c>
      <c r="B92" s="39" t="s">
        <v>366</v>
      </c>
      <c r="C92" s="40" t="s">
        <v>367</v>
      </c>
      <c r="D92" s="38" t="s">
        <v>60</v>
      </c>
      <c r="E92" s="40" t="s">
        <v>294</v>
      </c>
      <c r="F92" s="38" t="str">
        <f aca="false">IF(COUNTIFS('DSA Problem Tracker'!$C:$C,C92,'DSA Problem Tracker'!$E:$E,"Solved")&gt;0,"Solved","")</f>
        <v/>
      </c>
      <c r="G92" s="38" t="str">
        <f aca="true">IF(F92="Solved",IF(COUNTIFS('DSA Problem Tracker'!$C:$C,C92,'DSA Problem Tracker'!$E:$E,"Solved")&gt;0,INDEX('DSA Problem Tracker'!$F:$F,MATCH(C92,'DSA Problem Tracker'!$C:$C,0)),TODAY()),"")</f>
        <v/>
      </c>
      <c r="H92" s="41"/>
      <c r="I92" s="38"/>
    </row>
    <row r="93" customFormat="false" ht="15" hidden="false" customHeight="true" outlineLevel="0" collapsed="false">
      <c r="A93" s="38" t="n">
        <v>92</v>
      </c>
      <c r="B93" s="39"/>
      <c r="C93" s="40" t="s">
        <v>368</v>
      </c>
      <c r="D93" s="38" t="s">
        <v>60</v>
      </c>
      <c r="E93" s="40" t="s">
        <v>369</v>
      </c>
      <c r="F93" s="38" t="str">
        <f aca="false">IF(COUNTIFS('DSA Problem Tracker'!$C:$C,C93,'DSA Problem Tracker'!$E:$E,"Solved")&gt;0,"Solved","")</f>
        <v/>
      </c>
      <c r="G93" s="38" t="str">
        <f aca="true">IF(F93="Solved",IF(COUNTIFS('DSA Problem Tracker'!$C:$C,C93,'DSA Problem Tracker'!$E:$E,"Solved")&gt;0,INDEX('DSA Problem Tracker'!$F:$F,MATCH(C93,'DSA Problem Tracker'!$C:$C,0)),TODAY()),"")</f>
        <v/>
      </c>
      <c r="H93" s="41"/>
      <c r="I93" s="38"/>
    </row>
    <row r="94" customFormat="false" ht="15" hidden="false" customHeight="true" outlineLevel="0" collapsed="false">
      <c r="A94" s="38" t="n">
        <v>93</v>
      </c>
      <c r="B94" s="39"/>
      <c r="C94" s="40" t="s">
        <v>370</v>
      </c>
      <c r="D94" s="38" t="s">
        <v>56</v>
      </c>
      <c r="E94" s="40" t="s">
        <v>280</v>
      </c>
      <c r="F94" s="38" t="str">
        <f aca="false">IF(COUNTIFS('DSA Problem Tracker'!$C:$C,C94,'DSA Problem Tracker'!$E:$E,"Solved")&gt;0,"Solved","")</f>
        <v/>
      </c>
      <c r="G94" s="38" t="str">
        <f aca="true">IF(F94="Solved",IF(COUNTIFS('DSA Problem Tracker'!$C:$C,C94,'DSA Problem Tracker'!$E:$E,"Solved")&gt;0,INDEX('DSA Problem Tracker'!$F:$F,MATCH(C94,'DSA Problem Tracker'!$C:$C,0)),TODAY()),"")</f>
        <v/>
      </c>
      <c r="H94" s="41"/>
      <c r="I94" s="38"/>
    </row>
    <row r="95" customFormat="false" ht="15" hidden="false" customHeight="true" outlineLevel="0" collapsed="false">
      <c r="A95" s="38" t="n">
        <v>94</v>
      </c>
      <c r="B95" s="39"/>
      <c r="C95" s="40" t="s">
        <v>371</v>
      </c>
      <c r="D95" s="38" t="s">
        <v>56</v>
      </c>
      <c r="E95" s="40" t="s">
        <v>89</v>
      </c>
      <c r="F95" s="38" t="str">
        <f aca="false">IF(COUNTIFS('DSA Problem Tracker'!$C:$C,C95,'DSA Problem Tracker'!$E:$E,"Solved")&gt;0,"Solved","")</f>
        <v/>
      </c>
      <c r="G95" s="38" t="str">
        <f aca="true">IF(F95="Solved",IF(COUNTIFS('DSA Problem Tracker'!$C:$C,C95,'DSA Problem Tracker'!$E:$E,"Solved")&gt;0,INDEX('DSA Problem Tracker'!$F:$F,MATCH(C95,'DSA Problem Tracker'!$C:$C,0)),TODAY()),"")</f>
        <v/>
      </c>
      <c r="H95" s="41"/>
      <c r="I95" s="38"/>
    </row>
    <row r="96" customFormat="false" ht="15" hidden="false" customHeight="true" outlineLevel="0" collapsed="false">
      <c r="A96" s="38" t="n">
        <v>95</v>
      </c>
      <c r="B96" s="39"/>
      <c r="C96" s="40" t="s">
        <v>372</v>
      </c>
      <c r="D96" s="38" t="s">
        <v>60</v>
      </c>
      <c r="E96" s="40" t="s">
        <v>283</v>
      </c>
      <c r="F96" s="38" t="str">
        <f aca="false">IF(COUNTIFS('DSA Problem Tracker'!$C:$C,C96,'DSA Problem Tracker'!$E:$E,"Solved")&gt;0,"Solved","")</f>
        <v/>
      </c>
      <c r="G96" s="38" t="str">
        <f aca="true">IF(F96="Solved",IF(COUNTIFS('DSA Problem Tracker'!$C:$C,C96,'DSA Problem Tracker'!$E:$E,"Solved")&gt;0,INDEX('DSA Problem Tracker'!$F:$F,MATCH(C96,'DSA Problem Tracker'!$C:$C,0)),TODAY()),"")</f>
        <v/>
      </c>
      <c r="H96" s="41"/>
      <c r="I96" s="38"/>
    </row>
    <row r="97" customFormat="false" ht="15" hidden="false" customHeight="true" outlineLevel="0" collapsed="false">
      <c r="A97" s="38" t="n">
        <v>96</v>
      </c>
      <c r="B97" s="39"/>
      <c r="C97" s="40" t="s">
        <v>277</v>
      </c>
      <c r="D97" s="38" t="s">
        <v>56</v>
      </c>
      <c r="E97" s="40" t="s">
        <v>283</v>
      </c>
      <c r="F97" s="38" t="str">
        <f aca="false">IF(COUNTIFS('DSA Problem Tracker'!$C:$C,C97,'DSA Problem Tracker'!$E:$E,"Solved")&gt;0,"Solved","")</f>
        <v/>
      </c>
      <c r="G97" s="38" t="str">
        <f aca="true">IF(F97="Solved",IF(COUNTIFS('DSA Problem Tracker'!$C:$C,C97,'DSA Problem Tracker'!$E:$E,"Solved")&gt;0,INDEX('DSA Problem Tracker'!$F:$F,MATCH(C97,'DSA Problem Tracker'!$C:$C,0)),TODAY()),"")</f>
        <v/>
      </c>
      <c r="H97" s="41"/>
      <c r="I97" s="38"/>
    </row>
    <row r="98" customFormat="false" ht="15" hidden="false" customHeight="true" outlineLevel="0" collapsed="false">
      <c r="A98" s="38" t="n">
        <v>97</v>
      </c>
      <c r="B98" s="39"/>
      <c r="C98" s="40" t="s">
        <v>123</v>
      </c>
      <c r="D98" s="38" t="s">
        <v>56</v>
      </c>
      <c r="E98" s="40" t="s">
        <v>121</v>
      </c>
      <c r="F98" s="38" t="str">
        <f aca="false">IF(COUNTIFS('DSA Problem Tracker'!$C:$C,C98,'DSA Problem Tracker'!$E:$E,"Solved")&gt;0,"Solved","")</f>
        <v/>
      </c>
      <c r="G98" s="38" t="str">
        <f aca="true">IF(F98="Solved",IF(COUNTIFS('DSA Problem Tracker'!$C:$C,C98,'DSA Problem Tracker'!$E:$E,"Solved")&gt;0,INDEX('DSA Problem Tracker'!$F:$F,MATCH(C98,'DSA Problem Tracker'!$C:$C,0)),TODAY()),"")</f>
        <v/>
      </c>
      <c r="H98" s="41"/>
      <c r="I98" s="38"/>
    </row>
    <row r="99" customFormat="false" ht="15" hidden="false" customHeight="true" outlineLevel="0" collapsed="false">
      <c r="A99" s="38" t="n">
        <v>98</v>
      </c>
      <c r="B99" s="39"/>
      <c r="C99" s="40" t="s">
        <v>373</v>
      </c>
      <c r="D99" s="38" t="s">
        <v>56</v>
      </c>
      <c r="E99" s="40" t="s">
        <v>121</v>
      </c>
      <c r="F99" s="38" t="str">
        <f aca="false">IF(COUNTIFS('DSA Problem Tracker'!$C:$C,C99,'DSA Problem Tracker'!$E:$E,"Solved")&gt;0,"Solved","")</f>
        <v/>
      </c>
      <c r="G99" s="38" t="str">
        <f aca="true">IF(F99="Solved",IF(COUNTIFS('DSA Problem Tracker'!$C:$C,C99,'DSA Problem Tracker'!$E:$E,"Solved")&gt;0,INDEX('DSA Problem Tracker'!$F:$F,MATCH(C99,'DSA Problem Tracker'!$C:$C,0)),TODAY()),"")</f>
        <v/>
      </c>
      <c r="H99" s="41"/>
      <c r="I99" s="38"/>
    </row>
    <row r="100" customFormat="false" ht="15" hidden="false" customHeight="true" outlineLevel="0" collapsed="false">
      <c r="A100" s="38" t="n">
        <v>99</v>
      </c>
      <c r="B100" s="39"/>
      <c r="C100" s="40" t="s">
        <v>258</v>
      </c>
      <c r="D100" s="38" t="s">
        <v>56</v>
      </c>
      <c r="E100" s="40" t="s">
        <v>303</v>
      </c>
      <c r="F100" s="38" t="str">
        <f aca="false">IF(COUNTIFS('DSA Problem Tracker'!$C:$C,C100,'DSA Problem Tracker'!$E:$E,"Solved")&gt;0,"Solved","")</f>
        <v/>
      </c>
      <c r="G100" s="38" t="str">
        <f aca="true">IF(F100="Solved",IF(COUNTIFS('DSA Problem Tracker'!$C:$C,C100,'DSA Problem Tracker'!$E:$E,"Solved")&gt;0,INDEX('DSA Problem Tracker'!$F:$F,MATCH(C100,'DSA Problem Tracker'!$C:$C,0)),TODAY()),"")</f>
        <v/>
      </c>
      <c r="H100" s="41"/>
      <c r="I100" s="38"/>
    </row>
    <row r="101" customFormat="false" ht="15" hidden="false" customHeight="true" outlineLevel="0" collapsed="false">
      <c r="A101" s="38" t="n">
        <v>100</v>
      </c>
      <c r="B101" s="39"/>
      <c r="C101" s="40" t="s">
        <v>374</v>
      </c>
      <c r="D101" s="38" t="s">
        <v>80</v>
      </c>
      <c r="E101" s="40" t="s">
        <v>375</v>
      </c>
      <c r="F101" s="38" t="str">
        <f aca="false">IF(COUNTIFS('DSA Problem Tracker'!$C:$C,C101,'DSA Problem Tracker'!$E:$E,"Solved")&gt;0,"Solved","")</f>
        <v/>
      </c>
      <c r="G101" s="38" t="str">
        <f aca="true">IF(F101="Solved",IF(COUNTIFS('DSA Problem Tracker'!$C:$C,C101,'DSA Problem Tracker'!$E:$E,"Solved")&gt;0,INDEX('DSA Problem Tracker'!$F:$F,MATCH(C101,'DSA Problem Tracker'!$C:$C,0)),TODAY()),"")</f>
        <v/>
      </c>
      <c r="H101" s="41"/>
      <c r="I101" s="38"/>
    </row>
  </sheetData>
  <mergeCells count="10"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</mergeCells>
  <dataValidations count="2">
    <dataValidation allowBlank="true" error="Please select from the list" errorStyle="stop" errorTitle="Invalid Status" operator="between" prompt="Choose: Not Started, In Progress, or Solved" promptTitle="Select Status" showDropDown="false" showErrorMessage="false" showInputMessage="false" sqref="F2:F102" type="list">
      <formula1>"Not Started,In Progress,Solved"</formula1>
      <formula2>0</formula2>
    </dataValidation>
    <dataValidation allowBlank="true" errorStyle="stop" operator="between" prompt="Mark if you need to revisit this problem" promptTitle="Revisit?" showDropDown="false" showErrorMessage="false" showInputMessage="false" sqref="I2:I1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2026-03-22T15:57:23Z</dcterms:created>
  <dc:creator>openpyxl</dc:creator>
  <dc:description/>
  <dc:language>en-US</dc:language>
  <cp:lastModifiedBy/>
  <dcterms:modified xsi:type="dcterms:W3CDTF">2026-03-22T17:00:38Z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